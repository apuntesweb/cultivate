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003c032600fe0d2/Documents/Cours/IAF 2016/TSI/TSIn°5/G2/"/>
    </mc:Choice>
  </mc:AlternateContent>
  <bookViews>
    <workbookView xWindow="240" yWindow="50" windowWidth="20120" windowHeight="8000" activeTab="2"/>
  </bookViews>
  <sheets>
    <sheet name="Frais de gestion" sheetId="1" r:id="rId1"/>
    <sheet name="Opérations" sheetId="2" r:id="rId2"/>
    <sheet name="Client 1" sheetId="15" r:id="rId3"/>
  </sheets>
  <definedNames>
    <definedName name="Clients">Opérations!$B$3:$B$10</definedName>
    <definedName name="Frais">Opérations!$G$3:$G$10</definedName>
    <definedName name="Frais_Gestion">'Frais de gestion'!$A$3:$F$9</definedName>
    <definedName name="Montants">Opérations!$F$3:$F$10</definedName>
  </definedNames>
  <calcPr calcId="152511"/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I4" i="2" l="1"/>
</calcChain>
</file>

<file path=xl/sharedStrings.xml><?xml version="1.0" encoding="utf-8"?>
<sst xmlns="http://schemas.openxmlformats.org/spreadsheetml/2006/main" count="30" uniqueCount="19">
  <si>
    <t>Volume de transaction</t>
  </si>
  <si>
    <t>Achat/Vente</t>
  </si>
  <si>
    <t>Quantités</t>
  </si>
  <si>
    <t>Prix</t>
  </si>
  <si>
    <t>Montant de la transaction</t>
  </si>
  <si>
    <t>Frais de gestion</t>
  </si>
  <si>
    <t>Titre</t>
  </si>
  <si>
    <t>Achat</t>
  </si>
  <si>
    <t>Vente</t>
  </si>
  <si>
    <t>Tableau 1. Frais de gestion des produits financiers selon le volume de transaction</t>
  </si>
  <si>
    <t xml:space="preserve">Client </t>
  </si>
  <si>
    <t>Client 1</t>
  </si>
  <si>
    <t>Client 2</t>
  </si>
  <si>
    <t>Client 3</t>
  </si>
  <si>
    <t>Client 5</t>
  </si>
  <si>
    <t>Client 4</t>
  </si>
  <si>
    <t>Nom du client</t>
  </si>
  <si>
    <t>Montant des opérations</t>
  </si>
  <si>
    <t>Tableau 2. Transactions effectuées au cours de la période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</si>
</sst>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 indent="3"/>
    </xf>
    <xf numFmtId="3" fontId="0" fillId="2" borderId="0" xfId="0" applyNumberFormat="1" applyFill="1" applyAlignment="1">
      <alignment horizontal="right" indent="6"/>
    </xf>
    <xf numFmtId="2" fontId="0" fillId="2" borderId="0" xfId="0" applyNumberFormat="1" applyFill="1" applyAlignment="1">
      <alignment horizontal="right" indent="4"/>
    </xf>
    <xf numFmtId="10" fontId="0" fillId="2" borderId="0" xfId="0" applyNumberFormat="1" applyFill="1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9"/>
  <sheetViews>
    <sheetView workbookViewId="0">
      <selection activeCell="N11" sqref="N11"/>
    </sheetView>
  </sheetViews>
  <sheetFormatPr baseColWidth="10" defaultRowHeight="14.5" x14ac:dyDescent="0.35"/>
  <cols>
    <col min="1" max="1" width="21.26953125" bestFit="1" customWidth="1"/>
  </cols>
  <sheetData>
    <row r="1" spans="1:6" x14ac:dyDescent="0.35">
      <c r="A1" s="1" t="s">
        <v>9</v>
      </c>
      <c r="B1" s="2"/>
      <c r="C1" s="2"/>
      <c r="D1" s="2"/>
      <c r="E1" s="2"/>
      <c r="F1" s="2"/>
    </row>
    <row r="2" spans="1:6" x14ac:dyDescent="0.35">
      <c r="A2" s="2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</row>
    <row r="3" spans="1:6" x14ac:dyDescent="0.35">
      <c r="A3" s="2">
        <v>0</v>
      </c>
      <c r="B3" s="7">
        <v>1.2E-2</v>
      </c>
      <c r="C3" s="7">
        <v>1.0999999999999999E-2</v>
      </c>
      <c r="D3" s="7">
        <v>1.0999999999999999E-2</v>
      </c>
      <c r="E3" s="7">
        <v>1.2999999999999999E-2</v>
      </c>
      <c r="F3" s="7">
        <v>1.7999999999999999E-2</v>
      </c>
    </row>
    <row r="4" spans="1:6" x14ac:dyDescent="0.35">
      <c r="A4" s="2">
        <v>5</v>
      </c>
      <c r="B4" s="7">
        <v>0.01</v>
      </c>
      <c r="C4" s="7">
        <v>8.0000000000000002E-3</v>
      </c>
      <c r="D4" s="7">
        <v>8.9999999999999993E-3</v>
      </c>
      <c r="E4" s="7">
        <v>1.0999999999999999E-2</v>
      </c>
      <c r="F4" s="7">
        <v>1.4999999999999999E-2</v>
      </c>
    </row>
    <row r="5" spans="1:6" x14ac:dyDescent="0.35">
      <c r="A5" s="2">
        <v>10</v>
      </c>
      <c r="B5" s="7">
        <v>8.9999999999999993E-3</v>
      </c>
      <c r="C5" s="7">
        <v>7.7999999999999996E-3</v>
      </c>
      <c r="D5" s="7">
        <v>8.0000000000000002E-3</v>
      </c>
      <c r="E5" s="7">
        <v>0.01</v>
      </c>
      <c r="F5" s="7">
        <v>1.2999999999999999E-2</v>
      </c>
    </row>
    <row r="6" spans="1:6" x14ac:dyDescent="0.35">
      <c r="A6" s="2">
        <v>20</v>
      </c>
      <c r="B6" s="7">
        <v>8.0000000000000002E-3</v>
      </c>
      <c r="C6" s="7">
        <v>7.6E-3</v>
      </c>
      <c r="D6" s="7">
        <v>8.5000000000000006E-3</v>
      </c>
      <c r="E6" s="7">
        <v>9.4999999999999998E-3</v>
      </c>
      <c r="F6" s="7">
        <v>1.2E-2</v>
      </c>
    </row>
    <row r="7" spans="1:6" x14ac:dyDescent="0.35">
      <c r="A7" s="2">
        <v>50</v>
      </c>
      <c r="B7" s="7">
        <v>8.5000000000000006E-3</v>
      </c>
      <c r="C7" s="7">
        <v>7.4000000000000003E-3</v>
      </c>
      <c r="D7" s="7">
        <v>8.3000000000000001E-3</v>
      </c>
      <c r="E7" s="7">
        <v>8.9999999999999993E-3</v>
      </c>
      <c r="F7" s="7">
        <v>1.0999999999999999E-2</v>
      </c>
    </row>
    <row r="8" spans="1:6" x14ac:dyDescent="0.35">
      <c r="A8" s="2">
        <v>100</v>
      </c>
      <c r="B8" s="7">
        <v>7.9000000000000008E-3</v>
      </c>
      <c r="C8" s="7">
        <v>7.1999999999999998E-3</v>
      </c>
      <c r="D8" s="7">
        <v>7.7999999999999996E-3</v>
      </c>
      <c r="E8" s="7">
        <v>8.5000000000000006E-3</v>
      </c>
      <c r="F8" s="7">
        <v>8.0000000000000002E-3</v>
      </c>
    </row>
    <row r="9" spans="1:6" x14ac:dyDescent="0.35">
      <c r="A9" s="2">
        <v>1000000</v>
      </c>
      <c r="B9" s="7">
        <v>7.7999999999999996E-3</v>
      </c>
      <c r="C9" s="7">
        <v>7.0000000000000001E-3</v>
      </c>
      <c r="D9" s="7">
        <v>7.6E-3</v>
      </c>
      <c r="E9" s="7">
        <v>8.3000000000000001E-3</v>
      </c>
      <c r="F9" s="7">
        <v>7.7999999999999996E-3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10"/>
  <sheetViews>
    <sheetView workbookViewId="0">
      <selection activeCell="I5" sqref="I5"/>
    </sheetView>
  </sheetViews>
  <sheetFormatPr baseColWidth="10" defaultRowHeight="14.5" x14ac:dyDescent="0.35"/>
  <cols>
    <col min="1" max="2" width="14.1796875" customWidth="1"/>
    <col min="3" max="3" width="6.81640625" customWidth="1"/>
    <col min="5" max="5" width="7.54296875" customWidth="1"/>
    <col min="6" max="6" width="23.81640625" bestFit="1" customWidth="1"/>
    <col min="7" max="7" width="14.81640625" bestFit="1" customWidth="1"/>
  </cols>
  <sheetData>
    <row r="1" spans="1:9" x14ac:dyDescent="0.35">
      <c r="A1" s="1" t="s">
        <v>18</v>
      </c>
      <c r="B1" s="2"/>
      <c r="C1" s="2"/>
      <c r="D1" s="2"/>
      <c r="E1" s="2"/>
      <c r="F1" s="2"/>
      <c r="G1" s="2"/>
    </row>
    <row r="2" spans="1:9" x14ac:dyDescent="0.35">
      <c r="A2" s="3" t="s">
        <v>1</v>
      </c>
      <c r="B2" s="3" t="s">
        <v>10</v>
      </c>
      <c r="C2" s="3" t="s">
        <v>6</v>
      </c>
      <c r="D2" s="3" t="s">
        <v>2</v>
      </c>
      <c r="E2" s="3" t="s">
        <v>3</v>
      </c>
      <c r="F2" s="3" t="s">
        <v>4</v>
      </c>
      <c r="G2" s="3" t="s">
        <v>5</v>
      </c>
    </row>
    <row r="3" spans="1:9" x14ac:dyDescent="0.35">
      <c r="A3" s="3" t="s">
        <v>7</v>
      </c>
      <c r="B3" s="3" t="s">
        <v>11</v>
      </c>
      <c r="C3" s="3">
        <v>1</v>
      </c>
      <c r="D3" s="4">
        <v>5</v>
      </c>
      <c r="E3" s="3">
        <v>100</v>
      </c>
      <c r="F3" s="5">
        <f>E3*D3</f>
        <v>500</v>
      </c>
      <c r="G3" s="6">
        <v>5</v>
      </c>
    </row>
    <row r="4" spans="1:9" x14ac:dyDescent="0.35">
      <c r="A4" s="3" t="s">
        <v>8</v>
      </c>
      <c r="B4" s="3" t="s">
        <v>12</v>
      </c>
      <c r="C4" s="3">
        <v>3</v>
      </c>
      <c r="D4" s="4">
        <v>14</v>
      </c>
      <c r="E4" s="3">
        <v>150</v>
      </c>
      <c r="F4" s="5">
        <f>E4*D4</f>
        <v>2100</v>
      </c>
      <c r="G4" s="6">
        <v>16.8</v>
      </c>
      <c r="I4">
        <f>0.008*2100</f>
        <v>16.8</v>
      </c>
    </row>
    <row r="5" spans="1:9" x14ac:dyDescent="0.35">
      <c r="A5" s="3" t="s">
        <v>8</v>
      </c>
      <c r="B5" s="3" t="s">
        <v>13</v>
      </c>
      <c r="C5" s="3">
        <v>4</v>
      </c>
      <c r="D5" s="4">
        <v>54</v>
      </c>
      <c r="E5" s="3">
        <v>200</v>
      </c>
      <c r="F5" s="5">
        <f>E5*D5</f>
        <v>10800</v>
      </c>
      <c r="G5" s="6">
        <v>97.199999999999989</v>
      </c>
    </row>
    <row r="6" spans="1:9" x14ac:dyDescent="0.35">
      <c r="A6" s="3" t="s">
        <v>7</v>
      </c>
      <c r="B6" s="3" t="s">
        <v>14</v>
      </c>
      <c r="C6" s="3">
        <v>2</v>
      </c>
      <c r="D6" s="4">
        <v>31</v>
      </c>
      <c r="E6" s="3">
        <v>300</v>
      </c>
      <c r="F6" s="5">
        <f>E6*D6</f>
        <v>9300</v>
      </c>
      <c r="G6" s="6">
        <v>70.680000000000007</v>
      </c>
    </row>
    <row r="7" spans="1:9" x14ac:dyDescent="0.35">
      <c r="A7" s="3" t="s">
        <v>7</v>
      </c>
      <c r="B7" s="3" t="s">
        <v>15</v>
      </c>
      <c r="C7" s="3">
        <v>1</v>
      </c>
      <c r="D7" s="4">
        <v>40</v>
      </c>
      <c r="E7" s="3">
        <v>105</v>
      </c>
      <c r="F7" s="5">
        <f>E7*D7</f>
        <v>4200</v>
      </c>
      <c r="G7" s="6">
        <v>33.6</v>
      </c>
    </row>
    <row r="8" spans="1:9" x14ac:dyDescent="0.35">
      <c r="A8" s="3" t="s">
        <v>7</v>
      </c>
      <c r="B8" s="3" t="s">
        <v>12</v>
      </c>
      <c r="C8" s="3">
        <v>2</v>
      </c>
      <c r="D8" s="4">
        <v>70</v>
      </c>
      <c r="E8" s="3">
        <v>310</v>
      </c>
      <c r="F8" s="5">
        <f>E8*D8</f>
        <v>21700</v>
      </c>
      <c r="G8" s="6">
        <v>160.58000000000001</v>
      </c>
    </row>
    <row r="9" spans="1:9" x14ac:dyDescent="0.35">
      <c r="A9" s="3" t="s">
        <v>8</v>
      </c>
      <c r="B9" s="3" t="s">
        <v>11</v>
      </c>
      <c r="C9" s="3">
        <v>5</v>
      </c>
      <c r="D9" s="4">
        <v>32</v>
      </c>
      <c r="E9" s="3">
        <v>400</v>
      </c>
      <c r="F9" s="5">
        <f>E9*D9</f>
        <v>12800</v>
      </c>
      <c r="G9" s="6">
        <v>153.6</v>
      </c>
    </row>
    <row r="10" spans="1:9" x14ac:dyDescent="0.35">
      <c r="A10" s="3" t="s">
        <v>7</v>
      </c>
      <c r="B10" s="3" t="s">
        <v>12</v>
      </c>
      <c r="C10" s="3">
        <v>5</v>
      </c>
      <c r="D10" s="4">
        <v>24</v>
      </c>
      <c r="E10" s="3">
        <v>390</v>
      </c>
      <c r="F10" s="5">
        <f>E10*D10</f>
        <v>9360</v>
      </c>
      <c r="G10" s="6">
        <v>112.32000000000001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3"/>
  <sheetViews>
    <sheetView tabSelected="1" workbookViewId="0">
      <selection activeCell="H1" sqref="H1"/>
    </sheetView>
  </sheetViews>
  <sheetFormatPr baseColWidth="10" defaultRowHeight="14.5" x14ac:dyDescent="0.35"/>
  <cols>
    <col min="1" max="1" width="21.08984375" bestFit="1" customWidth="1"/>
  </cols>
  <sheetData>
    <row r="1" spans="1:2" ht="15" thickBot="1" x14ac:dyDescent="0.4">
      <c r="A1" s="8" t="s">
        <v>16</v>
      </c>
      <c r="B1" s="9" t="s">
        <v>11</v>
      </c>
    </row>
    <row r="2" spans="1:2" ht="15" thickBot="1" x14ac:dyDescent="0.4">
      <c r="A2" s="8" t="s">
        <v>17</v>
      </c>
      <c r="B2" s="9">
        <v>13300</v>
      </c>
    </row>
    <row r="3" spans="1:2" ht="15" thickBot="1" x14ac:dyDescent="0.4">
      <c r="A3" s="8" t="s">
        <v>5</v>
      </c>
      <c r="B3" s="9">
        <v>158.6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Frais de gestion</vt:lpstr>
      <vt:lpstr>Opérations</vt:lpstr>
      <vt:lpstr>Client 1</vt:lpstr>
      <vt:lpstr>Clients</vt:lpstr>
      <vt:lpstr>Frais</vt:lpstr>
      <vt:lpstr>Frais_Gestion</vt:lpstr>
      <vt:lpstr>Montants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2013-12-19T16:04:20Z</dcterms:created>
  <dcterms:modified xsi:type="dcterms:W3CDTF">2015-12-01T09:57:25Z</dcterms:modified>
</cp:coreProperties>
</file>