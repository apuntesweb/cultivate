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ederic\OneDrive\Documents\Cours\IAF 2016\TSI\TSI n°3\Gr2\"/>
    </mc:Choice>
  </mc:AlternateContent>
  <bookViews>
    <workbookView xWindow="240" yWindow="50" windowWidth="14160" windowHeight="9980" activeTab="1"/>
  </bookViews>
  <sheets>
    <sheet name="Rendements" sheetId="5" r:id="rId1"/>
    <sheet name="Statistiques" sheetId="3" r:id="rId2"/>
  </sheets>
  <definedNames>
    <definedName name="AIR_France_KLM">Rendements!$K$3:$K$145</definedName>
    <definedName name="AIR_LIQUIDE">Rendements!$F$3:$F$145</definedName>
    <definedName name="BNP_PARIBAS">Rendements!$H$3:$H$145</definedName>
    <definedName name="CARREFOUR">Rendements!$G$3:$G$145</definedName>
    <definedName name="LVMH">Rendements!$E$3:$E$145</definedName>
    <definedName name="ORANGE">Rendements!$I$3:$I$145</definedName>
    <definedName name="RENAULT">Rendements!$J$3:$J$145</definedName>
    <definedName name="SANOFI">Rendements!$C$3:$C$145</definedName>
    <definedName name="SCHNEIDER_ELECTRIC">Rendements!$D$3:$D$145</definedName>
    <definedName name="TOTAL">Rendements!$B$3:$B$145</definedName>
  </definedNames>
  <calcPr calcId="152511"/>
</workbook>
</file>

<file path=xl/calcChain.xml><?xml version="1.0" encoding="utf-8"?>
<calcChain xmlns="http://schemas.openxmlformats.org/spreadsheetml/2006/main">
  <c r="F12" i="3" l="1"/>
  <c r="E12" i="3"/>
  <c r="D12" i="3"/>
  <c r="C12" i="3"/>
  <c r="B12" i="3"/>
  <c r="F11" i="3"/>
  <c r="E11" i="3"/>
  <c r="D11" i="3"/>
  <c r="C11" i="3"/>
  <c r="B11" i="3"/>
  <c r="F10" i="3"/>
  <c r="E10" i="3"/>
  <c r="D10" i="3"/>
  <c r="C10" i="3"/>
  <c r="B10" i="3"/>
  <c r="F9" i="3"/>
  <c r="E9" i="3"/>
  <c r="D9" i="3"/>
  <c r="C9" i="3"/>
  <c r="B9" i="3"/>
  <c r="F8" i="3"/>
  <c r="E8" i="3"/>
  <c r="D8" i="3"/>
  <c r="C8" i="3"/>
  <c r="B8" i="3"/>
  <c r="F7" i="3"/>
  <c r="E7" i="3"/>
  <c r="D7" i="3"/>
  <c r="C7" i="3"/>
  <c r="B7" i="3"/>
  <c r="F6" i="3"/>
  <c r="E6" i="3"/>
  <c r="D6" i="3"/>
  <c r="C6" i="3"/>
  <c r="B6" i="3"/>
  <c r="F5" i="3"/>
  <c r="E5" i="3"/>
  <c r="D5" i="3"/>
  <c r="C5" i="3"/>
  <c r="B5" i="3"/>
  <c r="F4" i="3"/>
  <c r="E4" i="3"/>
  <c r="D4" i="3"/>
  <c r="C4" i="3"/>
  <c r="B4" i="3"/>
  <c r="F3" i="3"/>
  <c r="E3" i="3"/>
  <c r="D3" i="3"/>
  <c r="C3" i="3"/>
  <c r="B3" i="3"/>
</calcChain>
</file>

<file path=xl/sharedStrings.xml><?xml version="1.0" encoding="utf-8"?>
<sst xmlns="http://schemas.openxmlformats.org/spreadsheetml/2006/main" count="28" uniqueCount="22">
  <si>
    <t>Date</t>
  </si>
  <si>
    <t>TOTAL</t>
  </si>
  <si>
    <t>SANOFI</t>
  </si>
  <si>
    <t>LVMH</t>
  </si>
  <si>
    <t>AIR LIQUIDE</t>
  </si>
  <si>
    <t>CARREFOUR</t>
  </si>
  <si>
    <t>ORANGE</t>
  </si>
  <si>
    <t>BNP PARIBAS</t>
  </si>
  <si>
    <t>SCHNEIDER ELECTRIC</t>
  </si>
  <si>
    <t>RENAULT</t>
  </si>
  <si>
    <t>AIR France KLM</t>
  </si>
  <si>
    <t>Min</t>
  </si>
  <si>
    <t>Max</t>
  </si>
  <si>
    <t>Mediane</t>
  </si>
  <si>
    <t>Nombre de pertes (en %)</t>
  </si>
  <si>
    <t>SCHNEIDER_ELECTRIC</t>
  </si>
  <si>
    <t>AIR_LIQUIDE</t>
  </si>
  <si>
    <t>BNP_PARIBAS</t>
  </si>
  <si>
    <t>AIR_France_KLM</t>
  </si>
  <si>
    <t>Etendue</t>
  </si>
  <si>
    <t>Tableau 2. Statistiques sur les rendements des titres</t>
  </si>
  <si>
    <t>Tableau 1. Rendements de 10 titres du CAC 40 entre novembre 2003 et octobre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</si>
</sst>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0" fillId="0" borderId="1" xfId="0" applyBorder="1"/>
    <xf numFmtId="10" fontId="0" fillId="0" borderId="1" xfId="0" applyNumberFormat="1" applyBorder="1" applyAlignment="1">
      <alignment horizontal="center"/>
    </xf>
    <xf numFmtId="0" fontId="4" fillId="0" borderId="0" xfId="0" applyFont="1"/>
    <xf numFmtId="0" fontId="3" fillId="2" borderId="1" xfId="0" applyFont="1" applyFill="1" applyBorder="1"/>
    <xf numFmtId="0" fontId="5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K145"/>
  <sheetViews>
    <sheetView zoomScale="126" workbookViewId="0">
      <selection activeCell="A2" sqref="A2"/>
    </sheetView>
  </sheetViews>
  <sheetFormatPr baseColWidth="10" defaultRowHeight="12.5" x14ac:dyDescent="0.25"/>
  <cols>
    <col min="4" max="4" width="21.26953125" bestFit="1" customWidth="1"/>
    <col min="6" max="6" width="11.90625" bestFit="1" customWidth="1"/>
    <col min="7" max="7" width="12.08984375" bestFit="1" customWidth="1"/>
    <col min="8" max="8" width="13.26953125" bestFit="1" customWidth="1"/>
    <col min="11" max="11" width="15.08984375" bestFit="1" customWidth="1"/>
  </cols>
  <sheetData>
    <row r="1" spans="1:11" ht="15.5" x14ac:dyDescent="0.25">
      <c r="A1" s="5" t="s">
        <v>21</v>
      </c>
      <c r="B1" s="2"/>
      <c r="C1" s="2"/>
      <c r="D1" s="2"/>
      <c r="E1" s="2"/>
      <c r="F1" s="2"/>
      <c r="G1" s="2"/>
      <c r="H1" s="2"/>
      <c r="I1" s="2"/>
    </row>
    <row r="2" spans="1:11" ht="13" x14ac:dyDescent="0.3">
      <c r="A2" s="4" t="s">
        <v>0</v>
      </c>
      <c r="B2" s="4" t="s">
        <v>1</v>
      </c>
      <c r="C2" s="4" t="s">
        <v>2</v>
      </c>
      <c r="D2" s="4" t="s">
        <v>15</v>
      </c>
      <c r="E2" s="4" t="s">
        <v>3</v>
      </c>
      <c r="F2" s="4" t="s">
        <v>16</v>
      </c>
      <c r="G2" s="4" t="s">
        <v>5</v>
      </c>
      <c r="H2" s="4" t="s">
        <v>17</v>
      </c>
      <c r="I2" s="4" t="s">
        <v>6</v>
      </c>
      <c r="J2" s="4" t="s">
        <v>9</v>
      </c>
      <c r="K2" s="4" t="s">
        <v>18</v>
      </c>
    </row>
    <row r="3" spans="1:11" x14ac:dyDescent="0.25">
      <c r="A3" s="1">
        <v>37956</v>
      </c>
      <c r="B3" s="3">
        <v>9.3471556793787158E-2</v>
      </c>
      <c r="C3" s="3">
        <v>5.6633027772488687E-2</v>
      </c>
      <c r="D3" s="3">
        <v>9.7233800682074989E-3</v>
      </c>
      <c r="E3" s="3">
        <v>8.0902126505617566E-3</v>
      </c>
      <c r="F3" s="3">
        <v>4.47805000768704E-2</v>
      </c>
      <c r="G3" s="3">
        <v>-3.1795045809297484E-2</v>
      </c>
      <c r="H3" s="3">
        <v>6.2128390425663538E-2</v>
      </c>
      <c r="I3" s="3">
        <v>5.3864410277576935E-2</v>
      </c>
      <c r="J3" s="3">
        <v>-1.3537461848971089E-2</v>
      </c>
      <c r="K3" s="3">
        <v>-4.3278977523138029E-2</v>
      </c>
    </row>
    <row r="4" spans="1:11" x14ac:dyDescent="0.25">
      <c r="A4" s="1">
        <v>37987</v>
      </c>
      <c r="B4" s="3">
        <v>-4.0027106392590883E-2</v>
      </c>
      <c r="C4" s="3">
        <v>-4.1884412408289218E-2</v>
      </c>
      <c r="D4" s="3">
        <v>3.8579030720617968E-3</v>
      </c>
      <c r="E4" s="3">
        <v>3.4522181622542725E-3</v>
      </c>
      <c r="F4" s="3">
        <v>-3.785801238746267E-2</v>
      </c>
      <c r="G4" s="3">
        <v>-7.8120071496162402E-2</v>
      </c>
      <c r="H4" s="3">
        <v>1.5999068148493389E-3</v>
      </c>
      <c r="I4" s="3">
        <v>5.0817585430333878E-2</v>
      </c>
      <c r="J4" s="3">
        <v>-1.1876840161684887E-2</v>
      </c>
      <c r="K4" s="3">
        <v>0.17118113138013635</v>
      </c>
    </row>
    <row r="5" spans="1:11" x14ac:dyDescent="0.25">
      <c r="A5" s="1">
        <v>38019</v>
      </c>
      <c r="B5" s="3">
        <v>3.8869649229168024E-2</v>
      </c>
      <c r="C5" s="3">
        <v>-3.8449137514106169E-2</v>
      </c>
      <c r="D5" s="3">
        <v>2.6871630765549881E-2</v>
      </c>
      <c r="E5" s="3">
        <v>6.2171883028393937E-2</v>
      </c>
      <c r="F5" s="3">
        <v>5.865068661392514E-2</v>
      </c>
      <c r="G5" s="3">
        <v>8.5500304136253202E-2</v>
      </c>
      <c r="H5" s="3">
        <v>1.7003068145670097E-2</v>
      </c>
      <c r="I5" s="3">
        <v>-6.8859485650391239E-2</v>
      </c>
      <c r="J5" s="3">
        <v>3.8861673652845763E-2</v>
      </c>
      <c r="K5" s="3">
        <v>0.16095028319697913</v>
      </c>
    </row>
    <row r="6" spans="1:11" x14ac:dyDescent="0.25">
      <c r="A6" s="1">
        <v>38047</v>
      </c>
      <c r="B6" s="3">
        <v>1.6326071084061144E-2</v>
      </c>
      <c r="C6" s="3">
        <v>-3.3643501830273537E-2</v>
      </c>
      <c r="D6" s="3">
        <v>-9.3489926533226742E-3</v>
      </c>
      <c r="E6" s="3">
        <v>-2.7636394228746863E-2</v>
      </c>
      <c r="F6" s="3">
        <v>-2.8753546037194044E-2</v>
      </c>
      <c r="G6" s="3">
        <v>-7.8310510279130052E-2</v>
      </c>
      <c r="H6" s="3">
        <v>-2.2026031681969593E-2</v>
      </c>
      <c r="I6" s="3">
        <v>-6.0942659861903281E-2</v>
      </c>
      <c r="J6" s="3">
        <v>3.5487712987045672E-3</v>
      </c>
      <c r="K6" s="3">
        <v>-0.11566607941455476</v>
      </c>
    </row>
    <row r="7" spans="1:11" x14ac:dyDescent="0.25">
      <c r="A7" s="1">
        <v>38078</v>
      </c>
      <c r="B7" s="3">
        <v>3.2798178818473689E-2</v>
      </c>
      <c r="C7" s="3">
        <v>-2.8048463117716915E-3</v>
      </c>
      <c r="D7" s="3">
        <v>6.0379105815944634E-2</v>
      </c>
      <c r="E7" s="3">
        <v>-1.6720020764838139E-2</v>
      </c>
      <c r="F7" s="3">
        <v>5.4873431414971696E-2</v>
      </c>
      <c r="G7" s="3">
        <v>-1.7403199452825091E-2</v>
      </c>
      <c r="H7" s="3">
        <v>7.4385878031921759E-3</v>
      </c>
      <c r="I7" s="3">
        <v>-3.3141517476555804E-2</v>
      </c>
      <c r="J7" s="3">
        <v>0.10470608181752117</v>
      </c>
      <c r="K7" s="3">
        <v>-5.4401961535514021E-3</v>
      </c>
    </row>
    <row r="8" spans="1:11" x14ac:dyDescent="0.25">
      <c r="A8" s="1">
        <v>38110</v>
      </c>
      <c r="B8" s="3">
        <v>0.16174824198420978</v>
      </c>
      <c r="C8" s="3">
        <v>4.1002145798294976E-2</v>
      </c>
      <c r="D8" s="3">
        <v>2.7739270267272964E-2</v>
      </c>
      <c r="E8" s="3">
        <v>9.5030686992674251E-3</v>
      </c>
      <c r="F8" s="3">
        <v>7.3178652309533021E-2</v>
      </c>
      <c r="G8" s="3">
        <v>3.4881472601415275E-2</v>
      </c>
      <c r="H8" s="3">
        <v>7.9844611939483556E-3</v>
      </c>
      <c r="I8" s="3">
        <v>-1.5320180756089652E-2</v>
      </c>
      <c r="J8" s="3">
        <v>2.1925016443762324E-3</v>
      </c>
      <c r="K8" s="3">
        <v>-9.7072419106317365E-2</v>
      </c>
    </row>
    <row r="9" spans="1:11" x14ac:dyDescent="0.25">
      <c r="A9" s="1">
        <v>38139</v>
      </c>
      <c r="B9" s="3">
        <v>1.0315777627605938E-2</v>
      </c>
      <c r="C9" s="3">
        <v>-3.7855153203342651E-2</v>
      </c>
      <c r="D9" s="3">
        <v>1.0811065999433378E-2</v>
      </c>
      <c r="E9" s="3">
        <v>1.2791179098298189E-2</v>
      </c>
      <c r="F9" s="3">
        <v>3.2390227587634657E-2</v>
      </c>
      <c r="G9" s="3">
        <v>-4.4841373640746029E-3</v>
      </c>
      <c r="H9" s="3">
        <v>3.5870673218573179E-2</v>
      </c>
      <c r="I9" s="3">
        <v>9.447056189836589E-2</v>
      </c>
      <c r="J9" s="3">
        <v>2.7915117042222715E-2</v>
      </c>
      <c r="K9" s="3">
        <v>6.7832764505119547E-2</v>
      </c>
    </row>
    <row r="10" spans="1:11" x14ac:dyDescent="0.25">
      <c r="A10" s="1">
        <v>38169</v>
      </c>
      <c r="B10" s="3">
        <v>2.9355784100617566E-2</v>
      </c>
      <c r="C10" s="3">
        <v>5.758374106134756E-2</v>
      </c>
      <c r="D10" s="3">
        <v>-5.7934172688271057E-2</v>
      </c>
      <c r="E10" s="3">
        <v>-4.6258444855630576E-2</v>
      </c>
      <c r="F10" s="3">
        <v>-1.0301167414217938E-2</v>
      </c>
      <c r="G10" s="3">
        <v>1.3100108854772641E-2</v>
      </c>
      <c r="H10" s="3">
        <v>-4.2929301185124613E-2</v>
      </c>
      <c r="I10" s="3">
        <v>-3.9169564328083495E-2</v>
      </c>
      <c r="J10" s="3">
        <v>4.7120418848167755E-2</v>
      </c>
      <c r="K10" s="3">
        <v>-7.4230922892528972E-2</v>
      </c>
    </row>
    <row r="11" spans="1:11" x14ac:dyDescent="0.25">
      <c r="A11" s="1">
        <v>38201</v>
      </c>
      <c r="B11" s="3">
        <v>-7.4393145870870203E-3</v>
      </c>
      <c r="C11" s="3">
        <v>5.9895975910210897E-2</v>
      </c>
      <c r="D11" s="3">
        <v>-2.6488377693103193E-2</v>
      </c>
      <c r="E11" s="3">
        <v>-7.2324490164230371E-2</v>
      </c>
      <c r="F11" s="3">
        <v>-4.3866417270672531E-2</v>
      </c>
      <c r="G11" s="3">
        <v>-2.6491293071507993E-2</v>
      </c>
      <c r="H11" s="3">
        <v>2.8731588008635622E-2</v>
      </c>
      <c r="I11" s="3">
        <v>-5.5880787653006969E-2</v>
      </c>
      <c r="J11" s="3">
        <v>6.869918699186961E-3</v>
      </c>
      <c r="K11" s="3">
        <v>-3.0813050233039929E-2</v>
      </c>
    </row>
    <row r="12" spans="1:11" x14ac:dyDescent="0.25">
      <c r="A12" s="1">
        <v>38231</v>
      </c>
      <c r="B12" s="3">
        <v>2.4359780429614508E-2</v>
      </c>
      <c r="C12" s="3">
        <v>8.5231675189811895E-4</v>
      </c>
      <c r="D12" s="3">
        <v>1.1662083315145289E-2</v>
      </c>
      <c r="E12" s="3">
        <v>2.1861777150916861E-2</v>
      </c>
      <c r="F12" s="3">
        <v>-1.7883706997387616E-2</v>
      </c>
      <c r="G12" s="3">
        <v>-1.8382492863939004E-2</v>
      </c>
      <c r="H12" s="3">
        <v>4.4804170609818783E-2</v>
      </c>
      <c r="I12" s="3">
        <v>3.2356257046223247E-2</v>
      </c>
      <c r="J12" s="3">
        <v>-2.2608906294157016E-3</v>
      </c>
      <c r="K12" s="3">
        <v>1.2556772642265512E-2</v>
      </c>
    </row>
    <row r="13" spans="1:11" x14ac:dyDescent="0.25">
      <c r="A13" s="1">
        <v>38261</v>
      </c>
      <c r="B13" s="3">
        <v>-6.097535773036622E-3</v>
      </c>
      <c r="C13" s="3">
        <v>-1.8838223529715314E-2</v>
      </c>
      <c r="D13" s="3">
        <v>-2.8837095579510308E-3</v>
      </c>
      <c r="E13" s="3">
        <v>-9.2810737488402406E-4</v>
      </c>
      <c r="F13" s="3">
        <v>2.3736902168274288E-3</v>
      </c>
      <c r="G13" s="3">
        <v>-9.3478598014888337E-2</v>
      </c>
      <c r="H13" s="3">
        <v>2.596234522386931E-2</v>
      </c>
      <c r="I13" s="3">
        <v>0.1187070001092061</v>
      </c>
      <c r="J13" s="3">
        <v>-3.8036660866750394E-3</v>
      </c>
      <c r="K13" s="3">
        <v>7.6429199648197166E-2</v>
      </c>
    </row>
    <row r="14" spans="1:11" x14ac:dyDescent="0.25">
      <c r="A14" s="1">
        <v>38292</v>
      </c>
      <c r="B14" s="3">
        <v>7.2056219830808121E-2</v>
      </c>
      <c r="C14" s="3">
        <v>-1.136214197417218E-2</v>
      </c>
      <c r="D14" s="3">
        <v>6.7433071774751774E-3</v>
      </c>
      <c r="E14" s="3">
        <v>-3.7158782335285911E-3</v>
      </c>
      <c r="F14" s="3">
        <v>2.7646793377686496E-2</v>
      </c>
      <c r="G14" s="3">
        <v>4.1058979513280081E-2</v>
      </c>
      <c r="H14" s="3">
        <v>-1.9679880551519924E-2</v>
      </c>
      <c r="I14" s="3">
        <v>5.3006638032018882E-2</v>
      </c>
      <c r="J14" s="3">
        <v>-6.1740931800641774E-2</v>
      </c>
      <c r="K14" s="3">
        <v>4.2487131301576886E-2</v>
      </c>
    </row>
    <row r="15" spans="1:11" x14ac:dyDescent="0.25">
      <c r="A15" s="1">
        <v>38322</v>
      </c>
      <c r="B15" s="3">
        <v>-2.4286360566169285E-2</v>
      </c>
      <c r="C15" s="3">
        <v>3.7963233924818374E-2</v>
      </c>
      <c r="D15" s="3">
        <v>-2.0094418694615035E-2</v>
      </c>
      <c r="E15" s="3">
        <v>5.8145651030459655E-2</v>
      </c>
      <c r="F15" s="3">
        <v>4.5349984892738338E-2</v>
      </c>
      <c r="G15" s="3">
        <v>-1.9596565465675231E-2</v>
      </c>
      <c r="H15" s="3">
        <v>1.9120658273926949E-2</v>
      </c>
      <c r="I15" s="3">
        <v>3.0870492259200688E-2</v>
      </c>
      <c r="J15" s="3">
        <v>0</v>
      </c>
      <c r="K15" s="3">
        <v>-1.4734697076573489E-2</v>
      </c>
    </row>
    <row r="16" spans="1:11" x14ac:dyDescent="0.25">
      <c r="A16" s="1">
        <v>38355</v>
      </c>
      <c r="B16" s="3">
        <v>2.3646499664059961E-2</v>
      </c>
      <c r="C16" s="3">
        <v>-2.634816485544389E-2</v>
      </c>
      <c r="D16" s="3">
        <v>0.14453233518050101</v>
      </c>
      <c r="E16" s="3">
        <v>-5.4137105156130017E-2</v>
      </c>
      <c r="F16" s="3">
        <v>-3.0148526680077947E-2</v>
      </c>
      <c r="G16" s="3">
        <v>0.12872946697955068</v>
      </c>
      <c r="H16" s="3">
        <v>3.8460226656124474E-2</v>
      </c>
      <c r="I16" s="3">
        <v>-1.1870503597122273E-2</v>
      </c>
      <c r="J16" s="3">
        <v>1.868046235767773E-2</v>
      </c>
      <c r="K16" s="3">
        <v>2.1478004931987371E-3</v>
      </c>
    </row>
    <row r="17" spans="1:11" x14ac:dyDescent="0.25">
      <c r="A17" s="1">
        <v>38384</v>
      </c>
      <c r="B17" s="3">
        <v>8.9969789018310653E-2</v>
      </c>
      <c r="C17" s="3">
        <v>5.5017373907549905E-2</v>
      </c>
      <c r="D17" s="3">
        <v>2.9011982932624747E-2</v>
      </c>
      <c r="E17" s="3">
        <v>4.9734843055754707E-2</v>
      </c>
      <c r="F17" s="3">
        <v>2.8808824639690922E-2</v>
      </c>
      <c r="G17" s="3">
        <v>0</v>
      </c>
      <c r="H17" s="3">
        <v>-9.9367309707719675E-3</v>
      </c>
      <c r="I17" s="3">
        <v>-5.278485620677098E-2</v>
      </c>
      <c r="J17" s="3">
        <v>9.0924544739805935E-2</v>
      </c>
      <c r="K17" s="3">
        <v>2.0638196539133125E-2</v>
      </c>
    </row>
    <row r="18" spans="1:11" x14ac:dyDescent="0.25">
      <c r="A18" s="1">
        <v>38412</v>
      </c>
      <c r="B18" s="3">
        <v>6.692585999017675E-3</v>
      </c>
      <c r="C18" s="3">
        <v>7.6974898947053116E-2</v>
      </c>
      <c r="D18" s="3">
        <v>2.4829606823175698E-3</v>
      </c>
      <c r="E18" s="3">
        <v>3.1267067176406149E-2</v>
      </c>
      <c r="F18" s="3">
        <v>4.5687867165683738E-2</v>
      </c>
      <c r="G18" s="3">
        <v>3.5157410157410141E-2</v>
      </c>
      <c r="H18" s="3">
        <v>-2.738313162902517E-3</v>
      </c>
      <c r="I18" s="3">
        <v>1.3162951575711013E-2</v>
      </c>
      <c r="J18" s="3">
        <v>7.3042462017920418E-3</v>
      </c>
      <c r="K18" s="3">
        <v>-3.2742261627002778E-2</v>
      </c>
    </row>
    <row r="19" spans="1:11" x14ac:dyDescent="0.25">
      <c r="A19" s="1">
        <v>38443</v>
      </c>
      <c r="B19" s="3">
        <v>-4.4321357828543295E-2</v>
      </c>
      <c r="C19" s="3">
        <v>5.1502444223061605E-2</v>
      </c>
      <c r="D19" s="3">
        <v>-7.8576824480798391E-2</v>
      </c>
      <c r="E19" s="3">
        <v>-5.5452579548965097E-2</v>
      </c>
      <c r="F19" s="3">
        <v>-2.7480442346475176E-2</v>
      </c>
      <c r="G19" s="3">
        <v>-6.2188430226302716E-2</v>
      </c>
      <c r="H19" s="3">
        <v>-6.8618586380309932E-2</v>
      </c>
      <c r="I19" s="3">
        <v>-1.6026552868658173E-2</v>
      </c>
      <c r="J19" s="3">
        <v>-6.0968771149569889E-2</v>
      </c>
      <c r="K19" s="3">
        <v>-0.12261799469325385</v>
      </c>
    </row>
    <row r="20" spans="1:11" x14ac:dyDescent="0.25">
      <c r="A20" s="1">
        <v>38474</v>
      </c>
      <c r="B20" s="3">
        <v>0.13395326529081641</v>
      </c>
      <c r="C20" s="3">
        <v>7.1630018067245338E-2</v>
      </c>
      <c r="D20" s="3">
        <v>0.14518708671576785</v>
      </c>
      <c r="E20" s="3">
        <v>7.7374138535217796E-2</v>
      </c>
      <c r="F20" s="3">
        <v>0.11032746165941254</v>
      </c>
      <c r="G20" s="3">
        <v>7.4687368541818122E-2</v>
      </c>
      <c r="H20" s="3">
        <v>0.11396075222733071</v>
      </c>
      <c r="I20" s="3">
        <v>2.3804934464147998E-2</v>
      </c>
      <c r="J20" s="3">
        <v>0.10427906593632885</v>
      </c>
      <c r="K20" s="3">
        <v>6.1675219941349058E-2</v>
      </c>
    </row>
    <row r="21" spans="1:11" x14ac:dyDescent="0.25">
      <c r="A21" s="1">
        <v>38504</v>
      </c>
      <c r="B21" s="3">
        <v>8.2451199576706324E-2</v>
      </c>
      <c r="C21" s="3">
        <v>-5.8227275530974398E-2</v>
      </c>
      <c r="D21" s="3">
        <v>4.2637592202472874E-2</v>
      </c>
      <c r="E21" s="3">
        <v>0.1017195394323136</v>
      </c>
      <c r="F21" s="3">
        <v>9.7726332064294041E-3</v>
      </c>
      <c r="G21" s="3">
        <v>-4.9818518254928223E-3</v>
      </c>
      <c r="H21" s="3">
        <v>7.7204007100157179E-2</v>
      </c>
      <c r="I21" s="3">
        <v>6.0058363927327552E-2</v>
      </c>
      <c r="J21" s="3">
        <v>4.8185581620855622E-2</v>
      </c>
      <c r="K21" s="3">
        <v>-2.7880880448856282E-2</v>
      </c>
    </row>
    <row r="22" spans="1:11" x14ac:dyDescent="0.25">
      <c r="A22" s="1">
        <v>38534</v>
      </c>
      <c r="B22" s="3">
        <v>6.5362987526576433E-2</v>
      </c>
      <c r="C22" s="3">
        <v>5.082414583560757E-2</v>
      </c>
      <c r="D22" s="3">
        <v>4.010040578796592E-2</v>
      </c>
      <c r="E22" s="3">
        <v>7.2764131632813811E-2</v>
      </c>
      <c r="F22" s="3">
        <v>3.9745396403842781E-2</v>
      </c>
      <c r="G22" s="3">
        <v>-1.0120878334883066E-2</v>
      </c>
      <c r="H22" s="3">
        <v>5.2026765590036161E-2</v>
      </c>
      <c r="I22" s="3">
        <v>5.4258058786963881E-2</v>
      </c>
      <c r="J22" s="3">
        <v>3.702188222736158E-2</v>
      </c>
      <c r="K22" s="3">
        <v>8.6929497424968805E-2</v>
      </c>
    </row>
    <row r="23" spans="1:11" x14ac:dyDescent="0.25">
      <c r="A23" s="1">
        <v>38565</v>
      </c>
      <c r="B23" s="3">
        <v>2.9468440831759368E-2</v>
      </c>
      <c r="C23" s="3">
        <v>-3.014563812768789E-2</v>
      </c>
      <c r="D23" s="3">
        <v>-1.6963918529901978E-2</v>
      </c>
      <c r="E23" s="3">
        <v>-4.4491331070544038E-2</v>
      </c>
      <c r="F23" s="3">
        <v>-3.8226085483340277E-2</v>
      </c>
      <c r="G23" s="3">
        <v>-3.2624010983055673E-2</v>
      </c>
      <c r="H23" s="3">
        <v>-1.1733327846463526E-2</v>
      </c>
      <c r="I23" s="3">
        <v>-4.1610512129380051E-2</v>
      </c>
      <c r="J23" s="3">
        <v>-5.0916951158840984E-2</v>
      </c>
      <c r="K23" s="3">
        <v>-1.9279470631484275E-2</v>
      </c>
    </row>
    <row r="24" spans="1:11" x14ac:dyDescent="0.25">
      <c r="A24" s="1">
        <v>38596</v>
      </c>
      <c r="B24" s="3">
        <v>6.5696947437489994E-2</v>
      </c>
      <c r="C24" s="3">
        <v>-6.4907244762436589E-3</v>
      </c>
      <c r="D24" s="3">
        <v>3.058859794461366E-2</v>
      </c>
      <c r="E24" s="3">
        <v>4.7331029185867957E-2</v>
      </c>
      <c r="F24" s="3">
        <v>8.587620763946302E-2</v>
      </c>
      <c r="G24" s="3">
        <v>1.6208544965640836E-2</v>
      </c>
      <c r="H24" s="3">
        <v>7.2943044151517755E-2</v>
      </c>
      <c r="I24" s="3">
        <v>-2.1708560379680053E-2</v>
      </c>
      <c r="J24" s="3">
        <v>9.8259313486253497E-2</v>
      </c>
      <c r="K24" s="3">
        <v>5.0645564348188232E-2</v>
      </c>
    </row>
    <row r="25" spans="1:11" x14ac:dyDescent="0.25">
      <c r="A25" s="1">
        <v>38628</v>
      </c>
      <c r="B25" s="3">
        <v>-7.7939222734341285E-2</v>
      </c>
      <c r="C25" s="3">
        <v>-2.8374911058884345E-2</v>
      </c>
      <c r="D25" s="3">
        <v>4.3380727035774891E-2</v>
      </c>
      <c r="E25" s="3">
        <v>-1.5308460903840859E-2</v>
      </c>
      <c r="F25" s="3">
        <v>-8.4977616945610679E-3</v>
      </c>
      <c r="G25" s="3">
        <v>-3.0834252113193794E-2</v>
      </c>
      <c r="H25" s="3">
        <v>0</v>
      </c>
      <c r="I25" s="3">
        <v>-9.2175006737939102E-2</v>
      </c>
      <c r="J25" s="3">
        <v>-8.3131717111868286E-2</v>
      </c>
      <c r="K25" s="3">
        <v>7.9283279156425746E-3</v>
      </c>
    </row>
    <row r="26" spans="1:11" x14ac:dyDescent="0.25">
      <c r="A26" s="1">
        <v>38657</v>
      </c>
      <c r="B26" s="3">
        <v>7.2398546352512305E-2</v>
      </c>
      <c r="C26" s="3">
        <v>3.1134189911901089E-2</v>
      </c>
      <c r="D26" s="3">
        <v>6.8559698589184315E-2</v>
      </c>
      <c r="E26" s="3">
        <v>7.7713647365481364E-2</v>
      </c>
      <c r="F26" s="3">
        <v>1.1207213896693435E-2</v>
      </c>
      <c r="G26" s="3">
        <v>-5.384702893329818E-3</v>
      </c>
      <c r="H26" s="3">
        <v>6.244891127966179E-2</v>
      </c>
      <c r="I26" s="3">
        <v>-1.929737753587335E-2</v>
      </c>
      <c r="J26" s="3">
        <v>-8.0957851655058533E-2</v>
      </c>
      <c r="K26" s="3">
        <v>0.12695665853850402</v>
      </c>
    </row>
    <row r="27" spans="1:11" x14ac:dyDescent="0.25">
      <c r="A27" s="1">
        <v>38687</v>
      </c>
      <c r="B27" s="3">
        <v>-9.4150803806369865E-4</v>
      </c>
      <c r="C27" s="3">
        <v>7.8724228468127322E-2</v>
      </c>
      <c r="D27" s="3">
        <v>2.8671894836184597E-2</v>
      </c>
      <c r="E27" s="3">
        <v>3.439637896482628E-2</v>
      </c>
      <c r="F27" s="3">
        <v>5.9323009524165249E-2</v>
      </c>
      <c r="G27" s="3">
        <v>7.2629532197186375E-2</v>
      </c>
      <c r="H27" s="3">
        <v>1.7113412888481783E-2</v>
      </c>
      <c r="I27" s="3">
        <v>-1.2714429868819321E-2</v>
      </c>
      <c r="J27" s="3">
        <v>3.7638188991757415E-2</v>
      </c>
      <c r="K27" s="3">
        <v>0.14490123542960842</v>
      </c>
    </row>
    <row r="28" spans="1:11" x14ac:dyDescent="0.25">
      <c r="A28" s="1">
        <v>38719</v>
      </c>
      <c r="B28" s="3">
        <v>7.0688141302458929E-2</v>
      </c>
      <c r="C28" s="3">
        <v>1.9591413295028337E-2</v>
      </c>
      <c r="D28" s="3">
        <v>0.14133826364762547</v>
      </c>
      <c r="E28" s="3">
        <v>-1.0655532359081343E-2</v>
      </c>
      <c r="F28" s="3">
        <v>4.1229634111596303E-2</v>
      </c>
      <c r="G28" s="3">
        <v>-1.8198620885760963E-2</v>
      </c>
      <c r="H28" s="3">
        <v>7.3885278834607382E-2</v>
      </c>
      <c r="I28" s="3">
        <v>-0.10813573180703184</v>
      </c>
      <c r="J28" s="3">
        <v>0.12773647058823534</v>
      </c>
      <c r="K28" s="3">
        <v>3.481070535877584E-2</v>
      </c>
    </row>
    <row r="29" spans="1:11" x14ac:dyDescent="0.25">
      <c r="A29" s="1">
        <v>38749</v>
      </c>
      <c r="B29" s="3">
        <v>-7.1302897201707682E-2</v>
      </c>
      <c r="C29" s="3">
        <v>-5.3672758580205926E-2</v>
      </c>
      <c r="D29" s="3">
        <v>-2.9052330919107083E-3</v>
      </c>
      <c r="E29" s="3">
        <v>2.6925738980704716E-2</v>
      </c>
      <c r="F29" s="3">
        <v>-2.1275275320454923E-2</v>
      </c>
      <c r="G29" s="3">
        <v>7.2044022880312752E-2</v>
      </c>
      <c r="H29" s="3">
        <v>5.7901645374891286E-2</v>
      </c>
      <c r="I29" s="3">
        <v>-2.5097410038964152E-2</v>
      </c>
      <c r="J29" s="3">
        <v>3.7956301847740903E-2</v>
      </c>
      <c r="K29" s="3">
        <v>3.7410156710262932E-2</v>
      </c>
    </row>
    <row r="30" spans="1:11" x14ac:dyDescent="0.25">
      <c r="A30" s="1">
        <v>38777</v>
      </c>
      <c r="B30" s="3">
        <v>3.1753566646386622E-2</v>
      </c>
      <c r="C30" s="3">
        <v>9.9435518888406405E-2</v>
      </c>
      <c r="D30" s="3">
        <v>3.9064833874195237E-2</v>
      </c>
      <c r="E30" s="3">
        <v>6.0987638085218343E-2</v>
      </c>
      <c r="F30" s="3">
        <v>3.7437239518783638E-2</v>
      </c>
      <c r="G30" s="3">
        <v>5.3761988383087989E-2</v>
      </c>
      <c r="H30" s="3">
        <v>-1.2878012542133166E-2</v>
      </c>
      <c r="I30" s="3">
        <v>1.6927236393558198E-2</v>
      </c>
      <c r="J30" s="3">
        <v>8.8043740451877461E-2</v>
      </c>
      <c r="K30" s="3">
        <v>5.1110227724437962E-4</v>
      </c>
    </row>
    <row r="31" spans="1:11" x14ac:dyDescent="0.25">
      <c r="A31" s="1">
        <v>38810</v>
      </c>
      <c r="B31" s="3">
        <v>6.8901946862078844E-3</v>
      </c>
      <c r="C31" s="3">
        <v>-4.7769502745806047E-2</v>
      </c>
      <c r="D31" s="3">
        <v>7.2939517701224865E-3</v>
      </c>
      <c r="E31" s="3">
        <v>3.151436274054098E-2</v>
      </c>
      <c r="F31" s="3">
        <v>-1.7447206918873581E-3</v>
      </c>
      <c r="G31" s="3">
        <v>4.7397769516728694E-2</v>
      </c>
      <c r="H31" s="3">
        <v>-2.2831534618587002E-2</v>
      </c>
      <c r="I31" s="3">
        <v>-2.6586521789387918E-3</v>
      </c>
      <c r="J31" s="3">
        <v>4.8433343186520927E-2</v>
      </c>
      <c r="K31" s="3">
        <v>-5.0459757066636413E-2</v>
      </c>
    </row>
    <row r="32" spans="1:11" x14ac:dyDescent="0.25">
      <c r="A32" s="1">
        <v>38839</v>
      </c>
      <c r="B32" s="3">
        <v>-6.0537229610398535E-2</v>
      </c>
      <c r="C32" s="3">
        <v>-1.6057039026702413E-2</v>
      </c>
      <c r="D32" s="3">
        <v>-5.0914721165463028E-2</v>
      </c>
      <c r="E32" s="3">
        <v>-6.9814948329728344E-2</v>
      </c>
      <c r="F32" s="3">
        <v>1.8290358042386323E-2</v>
      </c>
      <c r="G32" s="3">
        <v>6.2723740170731457E-3</v>
      </c>
      <c r="H32" s="3">
        <v>8.2915308812414601E-3</v>
      </c>
      <c r="I32" s="3">
        <v>-4.8678720445062273E-3</v>
      </c>
      <c r="J32" s="3">
        <v>7.33044814412942E-4</v>
      </c>
      <c r="K32" s="3">
        <v>-8.9963536373961372E-2</v>
      </c>
    </row>
    <row r="33" spans="1:11" x14ac:dyDescent="0.25">
      <c r="A33" s="1">
        <v>38869</v>
      </c>
      <c r="B33" s="3">
        <v>1.6798635832422359E-2</v>
      </c>
      <c r="C33" s="3">
        <v>5.9595736566370183E-2</v>
      </c>
      <c r="D33" s="3">
        <v>6.7933047429542537E-3</v>
      </c>
      <c r="E33" s="3">
        <v>1.173943934892141E-2</v>
      </c>
      <c r="F33" s="3">
        <v>4.4215837130042734E-2</v>
      </c>
      <c r="G33" s="3">
        <v>1.3013865239601241E-2</v>
      </c>
      <c r="H33" s="3">
        <v>6.7558206384063402E-2</v>
      </c>
      <c r="I33" s="3">
        <v>-3.7153505706964962E-2</v>
      </c>
      <c r="J33" s="3">
        <v>-6.3545056276324674E-2</v>
      </c>
      <c r="K33" s="3">
        <v>9.4718864950078752E-2</v>
      </c>
    </row>
    <row r="34" spans="1:11" x14ac:dyDescent="0.25">
      <c r="A34" s="1">
        <v>38901</v>
      </c>
      <c r="B34" s="3">
        <v>3.4985399577529552E-2</v>
      </c>
      <c r="C34" s="3">
        <v>-2.4247935136773369E-2</v>
      </c>
      <c r="D34" s="3">
        <v>-1.2267378103671289E-2</v>
      </c>
      <c r="E34" s="3">
        <v>1.3534434602186618E-2</v>
      </c>
      <c r="F34" s="3">
        <v>3.7425568947692334E-2</v>
      </c>
      <c r="G34" s="3">
        <v>9.1697682795053304E-2</v>
      </c>
      <c r="H34" s="3">
        <v>1.8035709868261973E-2</v>
      </c>
      <c r="I34" s="3">
        <v>-2.4434498608927102E-2</v>
      </c>
      <c r="J34" s="3">
        <v>1.8457233972141163E-2</v>
      </c>
      <c r="K34" s="3">
        <v>7.0262810512420559E-2</v>
      </c>
    </row>
    <row r="35" spans="1:11" x14ac:dyDescent="0.25">
      <c r="A35" s="1">
        <v>38930</v>
      </c>
      <c r="B35" s="3">
        <v>-1.0328845122337005E-2</v>
      </c>
      <c r="C35" s="3">
        <v>-5.9097615904325607E-2</v>
      </c>
      <c r="D35" s="3">
        <v>3.4160487178424903E-2</v>
      </c>
      <c r="E35" s="3">
        <v>2.1605278490779867E-2</v>
      </c>
      <c r="F35" s="3">
        <v>4.2405465683059029E-2</v>
      </c>
      <c r="G35" s="3">
        <v>-1.330730527068269E-2</v>
      </c>
      <c r="H35" s="3">
        <v>8.8582798589135203E-2</v>
      </c>
      <c r="I35" s="3">
        <v>1.0415375077495348E-2</v>
      </c>
      <c r="J35" s="3">
        <v>6.2536001772394822E-2</v>
      </c>
      <c r="K35" s="3">
        <v>0.10192296910915521</v>
      </c>
    </row>
    <row r="36" spans="1:11" x14ac:dyDescent="0.25">
      <c r="A36" s="1">
        <v>38961</v>
      </c>
      <c r="B36" s="3">
        <v>-1.8026342239691462E-2</v>
      </c>
      <c r="C36" s="3">
        <v>2.1459227467810482E-3</v>
      </c>
      <c r="D36" s="3">
        <v>5.6458203143777475E-2</v>
      </c>
      <c r="E36" s="3">
        <v>1.1206165703275595E-2</v>
      </c>
      <c r="F36" s="3">
        <v>-2.3072715479267702E-2</v>
      </c>
      <c r="G36" s="3">
        <v>3.4664363139855547E-2</v>
      </c>
      <c r="H36" s="3">
        <v>2.2904210638378331E-2</v>
      </c>
      <c r="I36" s="3">
        <v>9.2281261504479239E-2</v>
      </c>
      <c r="J36" s="3">
        <v>-4.9486370397141544E-3</v>
      </c>
      <c r="K36" s="3">
        <v>0.11640803866700589</v>
      </c>
    </row>
    <row r="37" spans="1:11" x14ac:dyDescent="0.25">
      <c r="A37" s="1">
        <v>38992</v>
      </c>
      <c r="B37" s="3">
        <v>2.5120646705175664E-2</v>
      </c>
      <c r="C37" s="3">
        <v>-5.1288914511612549E-2</v>
      </c>
      <c r="D37" s="3">
        <v>-7.4473893754976705E-2</v>
      </c>
      <c r="E37" s="3">
        <v>4.9236303771225121E-3</v>
      </c>
      <c r="F37" s="3">
        <v>3.6668904640037248E-2</v>
      </c>
      <c r="G37" s="3">
        <v>-4.1932616950795865E-2</v>
      </c>
      <c r="H37" s="3">
        <v>1.5322609073710858E-2</v>
      </c>
      <c r="I37" s="3">
        <v>0.12425570160656108</v>
      </c>
      <c r="J37" s="3">
        <v>1.6721847365994691E-2</v>
      </c>
      <c r="K37" s="3">
        <v>0.1736772547053731</v>
      </c>
    </row>
    <row r="38" spans="1:11" x14ac:dyDescent="0.25">
      <c r="A38" s="1">
        <v>39022</v>
      </c>
      <c r="B38" s="3">
        <v>2.5211381737953342E-2</v>
      </c>
      <c r="C38" s="3">
        <v>2.3873082014902458E-4</v>
      </c>
      <c r="D38" s="3">
        <v>4.2976127560030442E-3</v>
      </c>
      <c r="E38" s="3">
        <v>-4.1031475161168007E-2</v>
      </c>
      <c r="F38" s="3">
        <v>2.4581779944556015E-2</v>
      </c>
      <c r="G38" s="3">
        <v>-1.1103614999718792E-2</v>
      </c>
      <c r="H38" s="3">
        <v>-5.5718038717101348E-2</v>
      </c>
      <c r="I38" s="3">
        <v>-3.6774258019386497E-2</v>
      </c>
      <c r="J38" s="3">
        <v>-1.2544655125034332E-2</v>
      </c>
      <c r="K38" s="3">
        <v>7.9560456628096521E-2</v>
      </c>
    </row>
    <row r="39" spans="1:11" x14ac:dyDescent="0.25">
      <c r="A39" s="1">
        <v>39052</v>
      </c>
      <c r="B39" s="3">
        <v>2.0541632702016033E-2</v>
      </c>
      <c r="C39" s="3">
        <v>5.5068564485332372E-2</v>
      </c>
      <c r="D39" s="3">
        <v>2.8747073077205476E-2</v>
      </c>
      <c r="E39" s="3">
        <v>2.499209111040801E-2</v>
      </c>
      <c r="F39" s="3">
        <v>5.2663006209094032E-2</v>
      </c>
      <c r="G39" s="3">
        <v>-2.6891042951761146E-2</v>
      </c>
      <c r="H39" s="3">
        <v>1.5980096227247609E-2</v>
      </c>
      <c r="I39" s="3">
        <v>6.8783068783068835E-2</v>
      </c>
      <c r="J39" s="3">
        <v>5.5240931164510787E-3</v>
      </c>
      <c r="K39" s="3">
        <v>5.8410962845736103E-2</v>
      </c>
    </row>
    <row r="40" spans="1:11" x14ac:dyDescent="0.25">
      <c r="A40" s="1">
        <v>39083</v>
      </c>
      <c r="B40" s="3">
        <v>-5.2150042376703953E-2</v>
      </c>
      <c r="C40" s="3">
        <v>-3.5742195533253862E-2</v>
      </c>
      <c r="D40" s="3">
        <v>0.10166346134782001</v>
      </c>
      <c r="E40" s="3">
        <v>1.1882716049382624E-2</v>
      </c>
      <c r="F40" s="3">
        <v>-6.6717777817169033E-3</v>
      </c>
      <c r="G40" s="3">
        <v>-3.7887418572722154E-2</v>
      </c>
      <c r="H40" s="3">
        <v>3.5088535608116755E-2</v>
      </c>
      <c r="I40" s="3">
        <v>1.1939429237041388E-2</v>
      </c>
      <c r="J40" s="3">
        <v>4.3410273441824465E-2</v>
      </c>
      <c r="K40" s="3">
        <v>8.2475277806096425E-2</v>
      </c>
    </row>
    <row r="41" spans="1:11" x14ac:dyDescent="0.25">
      <c r="A41" s="1">
        <v>39114</v>
      </c>
      <c r="B41" s="3">
        <v>-1.5058033303592677E-2</v>
      </c>
      <c r="C41" s="3">
        <v>-4.7304214297901326E-2</v>
      </c>
      <c r="D41" s="3">
        <v>-9.1749063252501983E-3</v>
      </c>
      <c r="E41" s="3">
        <v>3.4985511666921099E-2</v>
      </c>
      <c r="F41" s="3">
        <v>-3.0386376766980527E-2</v>
      </c>
      <c r="G41" s="3">
        <v>0.1420937575904786</v>
      </c>
      <c r="H41" s="3">
        <v>-7.7264766014691122E-2</v>
      </c>
      <c r="I41" s="3">
        <v>-3.1558752997602024E-2</v>
      </c>
      <c r="J41" s="3">
        <v>-5.3288417925491771E-2</v>
      </c>
      <c r="K41" s="3">
        <v>-4.982105857977015E-2</v>
      </c>
    </row>
    <row r="42" spans="1:11" x14ac:dyDescent="0.25">
      <c r="A42" s="1">
        <v>39142</v>
      </c>
      <c r="B42" s="3">
        <v>2.8028173782368881E-2</v>
      </c>
      <c r="C42" s="3">
        <v>1.3073651220058213E-2</v>
      </c>
      <c r="D42" s="3">
        <v>3.518675937429605E-2</v>
      </c>
      <c r="E42" s="3">
        <v>-8.119179535541754E-3</v>
      </c>
      <c r="F42" s="3">
        <v>5.3270174453782237E-2</v>
      </c>
      <c r="G42" s="3">
        <v>8.4591663122075778E-2</v>
      </c>
      <c r="H42" s="3">
        <v>-9.501504795860205E-3</v>
      </c>
      <c r="I42" s="3">
        <v>-3.7044374009508774E-2</v>
      </c>
      <c r="J42" s="3">
        <v>-2.6042615188490159E-2</v>
      </c>
      <c r="K42" s="3">
        <v>4.1166947500578255E-2</v>
      </c>
    </row>
    <row r="43" spans="1:11" x14ac:dyDescent="0.25">
      <c r="A43" s="1">
        <v>39174</v>
      </c>
      <c r="B43" s="3">
        <v>3.8322383776324687E-2</v>
      </c>
      <c r="C43" s="3">
        <v>3.6571352808591584E-2</v>
      </c>
      <c r="D43" s="3">
        <v>9.5125631667602573E-2</v>
      </c>
      <c r="E43" s="3">
        <v>3.5164084203645807E-2</v>
      </c>
      <c r="F43" s="3">
        <v>1.314910031321892E-3</v>
      </c>
      <c r="G43" s="3">
        <v>3.4315407618020544E-2</v>
      </c>
      <c r="H43" s="3">
        <v>9.5409154003373686E-2</v>
      </c>
      <c r="I43" s="3">
        <v>9.2059247068504657E-2</v>
      </c>
      <c r="J43" s="3">
        <v>9.3320292273171956E-2</v>
      </c>
      <c r="K43" s="3">
        <v>0.10043474121790985</v>
      </c>
    </row>
    <row r="44" spans="1:11" x14ac:dyDescent="0.25">
      <c r="A44" s="1">
        <v>39203</v>
      </c>
      <c r="B44" s="3">
        <v>8.2347047115105099E-2</v>
      </c>
      <c r="C44" s="3">
        <v>6.1928414589950798E-2</v>
      </c>
      <c r="D44" s="3">
        <v>9.5822371477919832E-2</v>
      </c>
      <c r="E44" s="3">
        <v>3.3625143513203115E-2</v>
      </c>
      <c r="F44" s="3">
        <v>3.1206645318348825E-2</v>
      </c>
      <c r="G44" s="3">
        <v>-2.5735816863358463E-2</v>
      </c>
      <c r="H44" s="3">
        <v>8.9769813316304514E-2</v>
      </c>
      <c r="I44" s="3">
        <v>5.7455024959969903E-2</v>
      </c>
      <c r="J44" s="3">
        <v>0.14464821343998313</v>
      </c>
      <c r="K44" s="3">
        <v>9.8333237210912472E-3</v>
      </c>
    </row>
    <row r="45" spans="1:11" x14ac:dyDescent="0.25">
      <c r="A45" s="1">
        <v>39234</v>
      </c>
      <c r="B45" s="3">
        <v>7.607139880072622E-2</v>
      </c>
      <c r="C45" s="3">
        <v>-0.1396796081422893</v>
      </c>
      <c r="D45" s="3">
        <v>-2.9452875983273508E-2</v>
      </c>
      <c r="E45" s="3">
        <v>-2.4853171903419624E-2</v>
      </c>
      <c r="F45" s="3">
        <v>0.11457183109317293</v>
      </c>
      <c r="G45" s="3">
        <v>-3.7288382953882149E-2</v>
      </c>
      <c r="H45" s="3">
        <v>-8.897942989684493E-3</v>
      </c>
      <c r="I45" s="3">
        <v>-5.6381936403313571E-2</v>
      </c>
      <c r="J45" s="3">
        <v>0.12197869136965989</v>
      </c>
      <c r="K45" s="3">
        <v>-8.8523373026071495E-2</v>
      </c>
    </row>
    <row r="46" spans="1:11" x14ac:dyDescent="0.25">
      <c r="A46" s="1">
        <v>39265</v>
      </c>
      <c r="B46" s="3">
        <v>-3.2857623661909585E-2</v>
      </c>
      <c r="C46" s="3">
        <v>2.3310621616576377E-2</v>
      </c>
      <c r="D46" s="3">
        <v>-4.7921349330215857E-2</v>
      </c>
      <c r="E46" s="3">
        <v>-3.2506086882234886E-2</v>
      </c>
      <c r="F46" s="3">
        <v>-1.7753029060763481E-2</v>
      </c>
      <c r="G46" s="3">
        <v>4.0172818919124165E-3</v>
      </c>
      <c r="H46" s="3">
        <v>-7.5034373176451008E-2</v>
      </c>
      <c r="I46" s="3">
        <v>-2.6524447800641782E-2</v>
      </c>
      <c r="J46" s="3">
        <v>-0.10191559106740422</v>
      </c>
      <c r="K46" s="3">
        <v>-2.3966916256774939E-2</v>
      </c>
    </row>
    <row r="47" spans="1:11" x14ac:dyDescent="0.25">
      <c r="A47" s="1">
        <v>39295</v>
      </c>
      <c r="B47" s="3">
        <v>-5.199025715746286E-2</v>
      </c>
      <c r="C47" s="3">
        <v>-2.5698324022346286E-2</v>
      </c>
      <c r="D47" s="3">
        <v>-1.6544670293329289E-2</v>
      </c>
      <c r="E47" s="3">
        <v>-9.3009565857248289E-3</v>
      </c>
      <c r="F47" s="3">
        <v>-2.2568216685795561E-2</v>
      </c>
      <c r="G47" s="3">
        <v>-1.8722633247772902E-2</v>
      </c>
      <c r="H47" s="3">
        <v>-5.2735308070677611E-2</v>
      </c>
      <c r="I47" s="3">
        <v>0.11480655483370494</v>
      </c>
      <c r="J47" s="3">
        <v>-7.5098949481584576E-2</v>
      </c>
      <c r="K47" s="3">
        <v>-8.7115619182127402E-2</v>
      </c>
    </row>
    <row r="48" spans="1:11" x14ac:dyDescent="0.25">
      <c r="A48" s="1">
        <v>39328</v>
      </c>
      <c r="B48" s="3">
        <v>3.2035943511407261E-2</v>
      </c>
      <c r="C48" s="3">
        <v>-9.0104849279161181E-3</v>
      </c>
      <c r="D48" s="3">
        <v>-9.1281193184560738E-2</v>
      </c>
      <c r="E48" s="3">
        <v>2.5372114441902571E-2</v>
      </c>
      <c r="F48" s="3">
        <v>3.3131565525776896E-3</v>
      </c>
      <c r="G48" s="3">
        <v>-4.3596450736010706E-2</v>
      </c>
      <c r="H48" s="3">
        <v>-8.7809318296039329E-3</v>
      </c>
      <c r="I48" s="3">
        <v>6.0972427589806033E-2</v>
      </c>
      <c r="J48" s="3">
        <v>2.6255749996916711E-2</v>
      </c>
      <c r="K48" s="3">
        <v>-0.15200421940928266</v>
      </c>
    </row>
    <row r="49" spans="1:11" x14ac:dyDescent="0.25">
      <c r="A49" s="1">
        <v>39356</v>
      </c>
      <c r="B49" s="3">
        <v>-2.402665785224456E-2</v>
      </c>
      <c r="C49" s="3">
        <v>1.9530973242330552E-2</v>
      </c>
      <c r="D49" s="3">
        <v>7.2801507092826512E-2</v>
      </c>
      <c r="E49" s="3">
        <v>5.7210326543621237E-2</v>
      </c>
      <c r="F49" s="3">
        <v>1.2038507461510362E-2</v>
      </c>
      <c r="G49" s="3">
        <v>1.1395935002949553E-2</v>
      </c>
      <c r="H49" s="3">
        <v>-8.4722475832199606E-3</v>
      </c>
      <c r="I49" s="3">
        <v>8.3866207575012286E-2</v>
      </c>
      <c r="J49" s="3">
        <v>0.14429917323591623</v>
      </c>
      <c r="K49" s="3">
        <v>1.8202927395613022E-2</v>
      </c>
    </row>
    <row r="50" spans="1:11" x14ac:dyDescent="0.25">
      <c r="A50" s="1">
        <v>39387</v>
      </c>
      <c r="B50" s="3">
        <v>1.0968819854153544E-2</v>
      </c>
      <c r="C50" s="3">
        <v>7.3847579337502856E-2</v>
      </c>
      <c r="D50" s="3">
        <v>3.4691391847687658E-3</v>
      </c>
      <c r="E50" s="3">
        <v>-6.2720109626584475E-2</v>
      </c>
      <c r="F50" s="3">
        <v>4.4320234869015263E-2</v>
      </c>
      <c r="G50" s="3">
        <v>6.4794930936663109E-2</v>
      </c>
      <c r="H50" s="3">
        <v>1.3931750158234113E-2</v>
      </c>
      <c r="I50" s="3">
        <v>1.9287497163603451E-2</v>
      </c>
      <c r="J50" s="3">
        <v>-0.14193900697303208</v>
      </c>
      <c r="K50" s="3">
        <v>-6.3243199218113721E-2</v>
      </c>
    </row>
    <row r="51" spans="1:11" x14ac:dyDescent="0.25">
      <c r="A51" s="1">
        <v>39419</v>
      </c>
      <c r="B51" s="3">
        <v>2.8969735276410447E-2</v>
      </c>
      <c r="C51" s="3">
        <v>-3.1235169765736259E-2</v>
      </c>
      <c r="D51" s="3">
        <v>-2.8305176179574287E-2</v>
      </c>
      <c r="E51" s="3">
        <v>-3.1287464545747268E-3</v>
      </c>
      <c r="F51" s="3">
        <v>2.611047830682689E-2</v>
      </c>
      <c r="G51" s="3">
        <v>7.195677613724083E-3</v>
      </c>
      <c r="H51" s="3">
        <v>-3.7978098714489761E-2</v>
      </c>
      <c r="I51" s="3">
        <v>-5.1276343128524804E-2</v>
      </c>
      <c r="J51" s="3">
        <v>-2.4538600871395699E-2</v>
      </c>
      <c r="K51" s="3">
        <v>-2.1562404903708199E-2</v>
      </c>
    </row>
    <row r="52" spans="1:11" x14ac:dyDescent="0.25">
      <c r="A52" s="1">
        <v>39448</v>
      </c>
      <c r="B52" s="3">
        <v>-0.14288226547339866</v>
      </c>
      <c r="C52" s="3">
        <v>-0.13702961478512576</v>
      </c>
      <c r="D52" s="3">
        <v>-0.16788929022386367</v>
      </c>
      <c r="E52" s="3">
        <v>-0.17113985685791389</v>
      </c>
      <c r="F52" s="3">
        <v>-8.6944673058161115E-2</v>
      </c>
      <c r="G52" s="3">
        <v>-0.11784336991990496</v>
      </c>
      <c r="H52" s="3">
        <v>-0.1130430957212224</v>
      </c>
      <c r="I52" s="3">
        <v>-4.0594446617129409E-2</v>
      </c>
      <c r="J52" s="3">
        <v>-0.21873706134022564</v>
      </c>
      <c r="K52" s="3">
        <v>-0.22659617008041943</v>
      </c>
    </row>
    <row r="53" spans="1:11" x14ac:dyDescent="0.25">
      <c r="A53" s="1">
        <v>39479</v>
      </c>
      <c r="B53" s="3">
        <v>2.6278011153890501E-2</v>
      </c>
      <c r="C53" s="3">
        <v>-0.10230673960161019</v>
      </c>
      <c r="D53" s="3">
        <v>-1.8156447308468437E-2</v>
      </c>
      <c r="E53" s="3">
        <v>-4.3882155180040572E-3</v>
      </c>
      <c r="F53" s="3">
        <v>1.0866299349534092E-2</v>
      </c>
      <c r="G53" s="3">
        <v>-7.0337676895054768E-3</v>
      </c>
      <c r="H53" s="3">
        <v>-9.5091365250205562E-2</v>
      </c>
      <c r="I53" s="3">
        <v>-5.6742214250774525E-2</v>
      </c>
      <c r="J53" s="3">
        <v>-6.0559829128458809E-2</v>
      </c>
      <c r="K53" s="3">
        <v>-3.6594473487677415E-2</v>
      </c>
    </row>
    <row r="54" spans="1:11" x14ac:dyDescent="0.25">
      <c r="A54" s="1">
        <v>39510</v>
      </c>
      <c r="B54" s="3">
        <v>-5.9011910758477892E-2</v>
      </c>
      <c r="C54" s="3">
        <v>-2.6012474490529014E-2</v>
      </c>
      <c r="D54" s="3">
        <v>8.240899956493819E-2</v>
      </c>
      <c r="E54" s="3">
        <v>3.3269945083263641E-2</v>
      </c>
      <c r="F54" s="3">
        <v>2.7888446215139417E-2</v>
      </c>
      <c r="G54" s="3">
        <v>4.6932324885703203E-2</v>
      </c>
      <c r="H54" s="3">
        <v>7.2517122701081904E-2</v>
      </c>
      <c r="I54" s="3">
        <v>-4.399308556611925E-2</v>
      </c>
      <c r="J54" s="3">
        <v>-1.5453519778453884E-2</v>
      </c>
      <c r="K54" s="3">
        <v>-4.472271914132353E-3</v>
      </c>
    </row>
    <row r="55" spans="1:11" x14ac:dyDescent="0.25">
      <c r="A55" s="1">
        <v>39539</v>
      </c>
      <c r="B55" s="3">
        <v>0.14668385837191256</v>
      </c>
      <c r="C55" s="3">
        <v>5.5332585728619543E-2</v>
      </c>
      <c r="D55" s="3">
        <v>4.5740600381267482E-2</v>
      </c>
      <c r="E55" s="3">
        <v>4.14179810454256E-2</v>
      </c>
      <c r="F55" s="3">
        <v>1.553068603119101E-3</v>
      </c>
      <c r="G55" s="3">
        <v>-5.2349246569803443E-2</v>
      </c>
      <c r="H55" s="3">
        <v>8.3895132681177431E-2</v>
      </c>
      <c r="I55" s="3">
        <v>-5.3521381430250425E-2</v>
      </c>
      <c r="J55" s="3">
        <v>-5.7766434003541978E-2</v>
      </c>
      <c r="K55" s="3">
        <v>0.11943695717280622</v>
      </c>
    </row>
    <row r="56" spans="1:11" x14ac:dyDescent="0.25">
      <c r="A56" s="1">
        <v>39569</v>
      </c>
      <c r="B56" s="3">
        <v>5.9333233975851662E-2</v>
      </c>
      <c r="C56" s="3">
        <v>-2.0692933642796341E-3</v>
      </c>
      <c r="D56" s="3">
        <v>2.7099050819413995E-2</v>
      </c>
      <c r="E56" s="3">
        <v>4.1306753431218812E-2</v>
      </c>
      <c r="F56" s="3">
        <v>1.0512367997889127E-2</v>
      </c>
      <c r="G56" s="3">
        <v>-3.5272365239653602E-3</v>
      </c>
      <c r="H56" s="3">
        <v>9.1548285827107723E-3</v>
      </c>
      <c r="I56" s="3">
        <v>3.1903715732161775E-2</v>
      </c>
      <c r="J56" s="3">
        <v>7.4465144562994023E-2</v>
      </c>
      <c r="K56" s="3">
        <v>-0.13922628284017335</v>
      </c>
    </row>
    <row r="57" spans="1:11" x14ac:dyDescent="0.25">
      <c r="A57" s="1">
        <v>39601</v>
      </c>
      <c r="B57" s="3">
        <v>-3.3696040132959126E-2</v>
      </c>
      <c r="C57" s="3">
        <v>-0.11438338890912647</v>
      </c>
      <c r="D57" s="3">
        <v>-0.15023557839664126</v>
      </c>
      <c r="E57" s="3">
        <v>-0.11475383834538766</v>
      </c>
      <c r="F57" s="3">
        <v>-1.5173102794507454E-2</v>
      </c>
      <c r="G57" s="3">
        <v>-0.20213525163426682</v>
      </c>
      <c r="H57" s="3">
        <v>-0.13265041922905463</v>
      </c>
      <c r="I57" s="3">
        <v>-4.082199389058605E-2</v>
      </c>
      <c r="J57" s="3">
        <v>-0.21060574878232829</v>
      </c>
      <c r="K57" s="3">
        <v>-0.11344563933610985</v>
      </c>
    </row>
    <row r="58" spans="1:11" x14ac:dyDescent="0.25">
      <c r="A58" s="1">
        <v>39630</v>
      </c>
      <c r="B58" s="3">
        <v>-8.856064938622199E-2</v>
      </c>
      <c r="C58" s="3">
        <v>6.2236987818383271E-2</v>
      </c>
      <c r="D58" s="3">
        <v>4.0955073144544496E-2</v>
      </c>
      <c r="E58" s="3">
        <v>6.5629871176965837E-2</v>
      </c>
      <c r="F58" s="3">
        <v>4.7686567450939688E-3</v>
      </c>
      <c r="G58" s="3">
        <v>-8.4257602862254033E-2</v>
      </c>
      <c r="H58" s="3">
        <v>0.10879582350445882</v>
      </c>
      <c r="I58" s="3">
        <v>8.8785948658560043E-2</v>
      </c>
      <c r="J58" s="3">
        <v>3.091596419570708E-2</v>
      </c>
      <c r="K58" s="3">
        <v>0.1011078390127611</v>
      </c>
    </row>
    <row r="59" spans="1:11" x14ac:dyDescent="0.25">
      <c r="A59" s="1">
        <v>39661</v>
      </c>
      <c r="B59" s="3">
        <v>-7.1865019071082337E-3</v>
      </c>
      <c r="C59" s="3">
        <v>7.8517812462766345E-2</v>
      </c>
      <c r="D59" s="3">
        <v>-3.5282457080464402E-2</v>
      </c>
      <c r="E59" s="3">
        <v>2.495124083663991E-2</v>
      </c>
      <c r="F59" s="3">
        <v>-1.4951315960563205E-2</v>
      </c>
      <c r="G59" s="3">
        <v>9.7167415510841959E-2</v>
      </c>
      <c r="H59" s="3">
        <v>-3.6365366163711998E-2</v>
      </c>
      <c r="I59" s="3">
        <v>-1.1522779648998505E-2</v>
      </c>
      <c r="J59" s="3">
        <v>6.6278898231860062E-2</v>
      </c>
      <c r="K59" s="3">
        <v>2.5471217524197565E-2</v>
      </c>
    </row>
    <row r="60" spans="1:11" x14ac:dyDescent="0.25">
      <c r="A60" s="1">
        <v>39692</v>
      </c>
      <c r="B60" s="3">
        <v>-0.13181753441381094</v>
      </c>
      <c r="C60" s="3">
        <v>-4.2366327883340715E-2</v>
      </c>
      <c r="D60" s="3">
        <v>-0.12561810892081526</v>
      </c>
      <c r="E60" s="3">
        <v>-0.15085301837270337</v>
      </c>
      <c r="F60" s="3">
        <v>-6.7400440652631732E-2</v>
      </c>
      <c r="G60" s="3">
        <v>-8.3861548322769042E-2</v>
      </c>
      <c r="H60" s="3">
        <v>7.482212965472046E-2</v>
      </c>
      <c r="I60" s="3">
        <v>1.4885222381635588E-2</v>
      </c>
      <c r="J60" s="3">
        <v>-0.22203336232113202</v>
      </c>
      <c r="K60" s="3">
        <v>-2.9433681073025242E-2</v>
      </c>
    </row>
    <row r="61" spans="1:11" x14ac:dyDescent="0.25">
      <c r="A61" s="1">
        <v>39722</v>
      </c>
      <c r="B61" s="3">
        <v>5.5190710278878452E-3</v>
      </c>
      <c r="C61" s="3">
        <v>6.1861913825921544E-2</v>
      </c>
      <c r="D61" s="3">
        <v>-0.22483067605391627</v>
      </c>
      <c r="E61" s="3">
        <v>-0.16007263735414579</v>
      </c>
      <c r="F61" s="3">
        <v>-0.13059505769903246</v>
      </c>
      <c r="G61" s="3">
        <v>-5.4417537995102849E-3</v>
      </c>
      <c r="H61" s="3">
        <v>-0.15254227350547622</v>
      </c>
      <c r="I61" s="3">
        <v>-5.1245803145432145E-3</v>
      </c>
      <c r="J61" s="3">
        <v>-0.46448351201666582</v>
      </c>
      <c r="K61" s="3">
        <v>-0.29756877799104298</v>
      </c>
    </row>
    <row r="62" spans="1:11" x14ac:dyDescent="0.25">
      <c r="A62" s="1">
        <v>39755</v>
      </c>
      <c r="B62" s="3">
        <v>-1.3451038285186345E-2</v>
      </c>
      <c r="C62" s="3">
        <v>-0.12097015128058886</v>
      </c>
      <c r="D62" s="3">
        <v>5.8456722800401817E-2</v>
      </c>
      <c r="E62" s="3">
        <v>-0.12852477114862693</v>
      </c>
      <c r="F62" s="3">
        <v>-6.7587141444589438E-3</v>
      </c>
      <c r="G62" s="3">
        <v>-9.7510454527689916E-2</v>
      </c>
      <c r="H62" s="3">
        <v>-0.22633798951609363</v>
      </c>
      <c r="I62" s="3">
        <v>2.6465364120781487E-2</v>
      </c>
      <c r="J62" s="3">
        <v>-0.27828644622610188</v>
      </c>
      <c r="K62" s="3">
        <v>-9.2084889334183351E-2</v>
      </c>
    </row>
    <row r="63" spans="1:11" x14ac:dyDescent="0.25">
      <c r="A63" s="1">
        <v>39783</v>
      </c>
      <c r="B63" s="3">
        <v>-5.2131580009079359E-2</v>
      </c>
      <c r="C63" s="3">
        <v>4.4863278232658788E-2</v>
      </c>
      <c r="D63" s="3">
        <v>7.222112261174285E-2</v>
      </c>
      <c r="E63" s="3">
        <v>7.15492214304565E-2</v>
      </c>
      <c r="F63" s="3">
        <v>-2.0944414983367854E-2</v>
      </c>
      <c r="G63" s="3">
        <v>-7.370517928286846E-2</v>
      </c>
      <c r="H63" s="3">
        <v>-0.30178881757995424</v>
      </c>
      <c r="I63" s="3">
        <v>-1.2891503720366737E-2</v>
      </c>
      <c r="J63" s="3">
        <v>7.7236573982778056E-2</v>
      </c>
      <c r="K63" s="3">
        <v>-0.10102327447833059</v>
      </c>
    </row>
    <row r="64" spans="1:11" x14ac:dyDescent="0.25">
      <c r="A64" s="1">
        <v>39814</v>
      </c>
      <c r="B64" s="3">
        <v>6.810614604187748E-3</v>
      </c>
      <c r="C64" s="3">
        <v>-2.8949936422509315E-2</v>
      </c>
      <c r="D64" s="3">
        <v>-6.1129088303001233E-2</v>
      </c>
      <c r="E64" s="3">
        <v>-0.10393832664220093</v>
      </c>
      <c r="F64" s="3">
        <v>-0.12857146374310324</v>
      </c>
      <c r="G64" s="3">
        <v>-2.6507713884992956E-2</v>
      </c>
      <c r="H64" s="3">
        <v>-7.936609586263188E-3</v>
      </c>
      <c r="I64" s="3">
        <v>-0.12025593829432901</v>
      </c>
      <c r="J64" s="3">
        <v>-0.18275567488406153</v>
      </c>
      <c r="K64" s="3">
        <v>-0.18100658408659742</v>
      </c>
    </row>
    <row r="65" spans="1:11" x14ac:dyDescent="0.25">
      <c r="A65" s="1">
        <v>39846</v>
      </c>
      <c r="B65" s="3">
        <v>-4.3267410673818785E-2</v>
      </c>
      <c r="C65" s="3">
        <v>-7.1898410378220423E-2</v>
      </c>
      <c r="D65" s="3">
        <v>-3.9392800346971235E-2</v>
      </c>
      <c r="E65" s="3">
        <v>6.0168769412605405E-2</v>
      </c>
      <c r="F65" s="3">
        <v>1.9726005723988527E-2</v>
      </c>
      <c r="G65" s="3">
        <v>-5.7628583777558084E-4</v>
      </c>
      <c r="H65" s="3">
        <v>-0.13395331623431395</v>
      </c>
      <c r="I65" s="3">
        <v>1.4247285045332125E-2</v>
      </c>
      <c r="J65" s="3">
        <v>-0.23975210931083402</v>
      </c>
      <c r="K65" s="3">
        <v>-3.0658127810328506E-2</v>
      </c>
    </row>
    <row r="66" spans="1:11" x14ac:dyDescent="0.25">
      <c r="A66" s="1">
        <v>39874</v>
      </c>
      <c r="B66" s="3">
        <v>-1.467357272037173E-3</v>
      </c>
      <c r="C66" s="3">
        <v>3.579748662926141E-2</v>
      </c>
      <c r="D66" s="3">
        <v>4.8328547434577818E-2</v>
      </c>
      <c r="E66" s="3">
        <v>4.2079336271713785E-2</v>
      </c>
      <c r="F66" s="3">
        <v>5.3043379482504927E-2</v>
      </c>
      <c r="G66" s="3">
        <v>9.8025082888856918E-2</v>
      </c>
      <c r="H66" s="3">
        <v>0.1973813013987924</v>
      </c>
      <c r="I66" s="3">
        <v>-3.7033398821217922E-2</v>
      </c>
      <c r="J66" s="3">
        <v>0.34354743665291676</v>
      </c>
      <c r="K66" s="3">
        <v>-7.9701996064099001E-2</v>
      </c>
    </row>
    <row r="67" spans="1:11" x14ac:dyDescent="0.25">
      <c r="A67" s="1">
        <v>39904</v>
      </c>
      <c r="B67" s="3">
        <v>2.4582259072133184E-2</v>
      </c>
      <c r="C67" s="3">
        <v>8.904586923466784E-2</v>
      </c>
      <c r="D67" s="3">
        <v>0.15565547458668538</v>
      </c>
      <c r="E67" s="3">
        <v>0.21359440698629117</v>
      </c>
      <c r="F67" s="3">
        <v>9.9585346088677529E-3</v>
      </c>
      <c r="G67" s="3">
        <v>5.0676119207036852E-2</v>
      </c>
      <c r="H67" s="3">
        <v>0.29338042138550091</v>
      </c>
      <c r="I67" s="3">
        <v>-1.6321534224217116E-2</v>
      </c>
      <c r="J67" s="3">
        <v>0.58676900584795333</v>
      </c>
      <c r="K67" s="3">
        <v>0.26454864823583324</v>
      </c>
    </row>
    <row r="68" spans="1:11" x14ac:dyDescent="0.25">
      <c r="A68" s="1">
        <v>39934</v>
      </c>
      <c r="B68" s="3">
        <v>9.2406418277546143E-2</v>
      </c>
      <c r="C68" s="3">
        <v>2.6964135082463203E-2</v>
      </c>
      <c r="D68" s="3">
        <v>2.7543267725729903E-2</v>
      </c>
      <c r="E68" s="3">
        <v>4.1145598425519569E-2</v>
      </c>
      <c r="F68" s="3">
        <v>0.10946670800107317</v>
      </c>
      <c r="G68" s="3">
        <v>5.9560997959098749E-2</v>
      </c>
      <c r="H68" s="3">
        <v>0.2380431364747706</v>
      </c>
      <c r="I68" s="3">
        <v>2.2503370320439586E-2</v>
      </c>
      <c r="J68" s="3">
        <v>0.10130372690837053</v>
      </c>
      <c r="K68" s="3">
        <v>0.32491846841405958</v>
      </c>
    </row>
    <row r="69" spans="1:11" x14ac:dyDescent="0.25">
      <c r="A69" s="1">
        <v>39965</v>
      </c>
      <c r="B69" s="3">
        <v>-5.5705256183981589E-2</v>
      </c>
      <c r="C69" s="3">
        <v>-6.8515266526935847E-2</v>
      </c>
      <c r="D69" s="3">
        <v>3.5964021471057706E-2</v>
      </c>
      <c r="E69" s="3">
        <v>-7.0552328443437951E-2</v>
      </c>
      <c r="F69" s="3">
        <v>-6.8634195937362641E-3</v>
      </c>
      <c r="G69" s="3">
        <v>-3.6872518573843216E-2</v>
      </c>
      <c r="H69" s="3">
        <v>-5.1284044877426771E-2</v>
      </c>
      <c r="I69" s="3">
        <v>-1.8458417849898434E-2</v>
      </c>
      <c r="J69" s="3">
        <v>-3.2878775202877852E-2</v>
      </c>
      <c r="K69" s="3">
        <v>-0.1891694776187437</v>
      </c>
    </row>
    <row r="70" spans="1:11" x14ac:dyDescent="0.25">
      <c r="A70" s="1">
        <v>39995</v>
      </c>
      <c r="B70" s="3">
        <v>1.117437708996194E-2</v>
      </c>
      <c r="C70" s="3">
        <v>9.7667771459847286E-2</v>
      </c>
      <c r="D70" s="3">
        <v>0.17384830110116845</v>
      </c>
      <c r="E70" s="3">
        <v>0.16340409304690473</v>
      </c>
      <c r="F70" s="3">
        <v>0.12517082074343078</v>
      </c>
      <c r="G70" s="3">
        <v>8.2649687767846203E-2</v>
      </c>
      <c r="H70" s="3">
        <v>0.10594897599593511</v>
      </c>
      <c r="I70" s="3">
        <v>8.3591651167596481E-2</v>
      </c>
      <c r="J70" s="3">
        <v>0.14329584775086501</v>
      </c>
      <c r="K70" s="3">
        <v>-2.9682932313919386E-2</v>
      </c>
    </row>
    <row r="71" spans="1:11" x14ac:dyDescent="0.25">
      <c r="A71" s="1">
        <v>40028</v>
      </c>
      <c r="B71" s="3">
        <v>2.7242623071904282E-2</v>
      </c>
      <c r="C71" s="3">
        <v>2.9585307072218292E-2</v>
      </c>
      <c r="D71" s="3">
        <v>8.7883246510518376E-3</v>
      </c>
      <c r="E71" s="3">
        <v>5.3719384503323475E-2</v>
      </c>
      <c r="F71" s="3">
        <v>1.6245009455768011E-2</v>
      </c>
      <c r="G71" s="3">
        <v>-2.7143180275955858E-3</v>
      </c>
      <c r="H71" s="3">
        <v>9.8140779109145093E-2</v>
      </c>
      <c r="I71" s="3">
        <v>4.7105940688471515E-2</v>
      </c>
      <c r="J71" s="3">
        <v>4.9483600045397758E-2</v>
      </c>
      <c r="K71" s="3">
        <v>0.20533024333719574</v>
      </c>
    </row>
    <row r="72" spans="1:11" x14ac:dyDescent="0.25">
      <c r="A72" s="1">
        <v>40057</v>
      </c>
      <c r="B72" s="3">
        <v>1.588688456842724E-2</v>
      </c>
      <c r="C72" s="3">
        <v>5.9811122770199399E-2</v>
      </c>
      <c r="D72" s="3">
        <v>7.713654998423225E-2</v>
      </c>
      <c r="E72" s="3">
        <v>3.0588438607102697E-2</v>
      </c>
      <c r="F72" s="3">
        <v>4.4323047943576777E-2</v>
      </c>
      <c r="G72" s="3">
        <v>-5.6172979511605048E-2</v>
      </c>
      <c r="H72" s="3">
        <v>1.6195096934401576E-4</v>
      </c>
      <c r="I72" s="3">
        <v>2.6227119570166657E-2</v>
      </c>
      <c r="J72" s="3">
        <v>1.4779568148228339E-2</v>
      </c>
      <c r="K72" s="3">
        <v>0.16679484714477999</v>
      </c>
    </row>
    <row r="73" spans="1:11" x14ac:dyDescent="0.25">
      <c r="A73" s="1">
        <v>40087</v>
      </c>
      <c r="B73" s="3">
        <v>7.3888297480650955E-4</v>
      </c>
      <c r="C73" s="3">
        <v>-8.073115003808029E-3</v>
      </c>
      <c r="D73" s="3">
        <v>2.5266424639887486E-2</v>
      </c>
      <c r="E73" s="3">
        <v>2.7936614404292959E-2</v>
      </c>
      <c r="F73" s="3">
        <v>-5.5949012705245105E-2</v>
      </c>
      <c r="G73" s="3">
        <v>-5.5831464274270992E-2</v>
      </c>
      <c r="H73" s="3">
        <v>-5.7692437439699873E-2</v>
      </c>
      <c r="I73" s="3">
        <v>-7.3830863430650484E-2</v>
      </c>
      <c r="J73" s="3">
        <v>-3.9678874640332484E-2</v>
      </c>
      <c r="K73" s="3">
        <v>-0.15778198895938045</v>
      </c>
    </row>
    <row r="74" spans="1:11" x14ac:dyDescent="0.25">
      <c r="A74" s="1">
        <v>40119</v>
      </c>
      <c r="B74" s="3">
        <v>4.1772324169781161E-2</v>
      </c>
      <c r="C74" s="3">
        <v>1.1568386568386435E-2</v>
      </c>
      <c r="D74" s="3">
        <v>2.6474913618321549E-2</v>
      </c>
      <c r="E74" s="3">
        <v>-1.3360304073343099E-2</v>
      </c>
      <c r="F74" s="3">
        <v>5.4497712920687391E-2</v>
      </c>
      <c r="G74" s="3">
        <v>0.10405531517773814</v>
      </c>
      <c r="H74" s="3">
        <v>6.9000329357180812E-2</v>
      </c>
      <c r="I74" s="3">
        <v>2.7594136246047674E-2</v>
      </c>
      <c r="J74" s="3">
        <v>5.226751498113491E-2</v>
      </c>
      <c r="K74" s="3">
        <v>9.4893367247115279E-3</v>
      </c>
    </row>
    <row r="75" spans="1:11" x14ac:dyDescent="0.25">
      <c r="A75" s="1">
        <v>40148</v>
      </c>
      <c r="B75" s="3">
        <v>9.2089562883425069E-2</v>
      </c>
      <c r="C75" s="3">
        <v>9.4195931585871806E-2</v>
      </c>
      <c r="D75" s="3">
        <v>0.12196724959922656</v>
      </c>
      <c r="E75" s="3">
        <v>0.13005522304156614</v>
      </c>
      <c r="F75" s="3">
        <v>7.2739531497989285E-2</v>
      </c>
      <c r="G75" s="3">
        <v>3.8536903984323967E-2</v>
      </c>
      <c r="H75" s="3">
        <v>1.6362698673167975E-2</v>
      </c>
      <c r="I75" s="3">
        <v>6.0606060606060996E-3</v>
      </c>
      <c r="J75" s="3">
        <v>0.12423102611874715</v>
      </c>
      <c r="K75" s="3">
        <v>4.1670704525632374E-2</v>
      </c>
    </row>
    <row r="76" spans="1:11" x14ac:dyDescent="0.25">
      <c r="A76" s="1">
        <v>40182</v>
      </c>
      <c r="B76" s="3">
        <v>-6.5659503939180963E-2</v>
      </c>
      <c r="C76" s="3">
        <v>-2.6522070895090955E-2</v>
      </c>
      <c r="D76" s="3">
        <v>-8.2540144989973419E-2</v>
      </c>
      <c r="E76" s="3">
        <v>8.8078656288406165E-3</v>
      </c>
      <c r="F76" s="3">
        <v>-7.2746386041415256E-2</v>
      </c>
      <c r="G76" s="3">
        <v>5.3015168331483453E-2</v>
      </c>
      <c r="H76" s="3">
        <v>-6.7083591440081913E-2</v>
      </c>
      <c r="I76" s="3">
        <v>-4.6246524559777513E-2</v>
      </c>
      <c r="J76" s="3">
        <v>-5.3594321628467001E-2</v>
      </c>
      <c r="K76" s="3">
        <v>7.5448878965485244E-2</v>
      </c>
    </row>
    <row r="77" spans="1:11" x14ac:dyDescent="0.25">
      <c r="A77" s="1">
        <v>40210</v>
      </c>
      <c r="B77" s="3">
        <v>-2.5445878322161386E-2</v>
      </c>
      <c r="C77" s="3">
        <v>2.232779097387283E-3</v>
      </c>
      <c r="D77" s="3">
        <v>4.5315730443360458E-2</v>
      </c>
      <c r="E77" s="3">
        <v>6.700507614213258E-3</v>
      </c>
      <c r="F77" s="3">
        <v>0.1392397976526103</v>
      </c>
      <c r="G77" s="3">
        <v>-4.1176263921582468E-2</v>
      </c>
      <c r="H77" s="3">
        <v>1.8792132781099147E-2</v>
      </c>
      <c r="I77" s="3">
        <v>3.6148090564571023E-2</v>
      </c>
      <c r="J77" s="3">
        <v>-0.1185119106617768</v>
      </c>
      <c r="K77" s="3">
        <v>-0.17102076124567478</v>
      </c>
    </row>
    <row r="78" spans="1:11" x14ac:dyDescent="0.25">
      <c r="A78" s="1">
        <v>40238</v>
      </c>
      <c r="B78" s="3">
        <v>4.8804237226480085E-2</v>
      </c>
      <c r="C78" s="3">
        <v>2.7373560221832349E-2</v>
      </c>
      <c r="D78" s="3">
        <v>0.10723080801225482</v>
      </c>
      <c r="E78" s="3">
        <v>8.7175128219904252E-2</v>
      </c>
      <c r="F78" s="3">
        <v>1.3338762443661389E-2</v>
      </c>
      <c r="G78" s="3">
        <v>5.3131068850536867E-2</v>
      </c>
      <c r="H78" s="3">
        <v>7.0204308033650742E-2</v>
      </c>
      <c r="I78" s="3">
        <v>2.8416018006189647E-2</v>
      </c>
      <c r="J78" s="3">
        <v>0.14902548725637188</v>
      </c>
      <c r="K78" s="3">
        <v>0.19357195032870722</v>
      </c>
    </row>
    <row r="79" spans="1:11" x14ac:dyDescent="0.25">
      <c r="A79" s="1">
        <v>40269</v>
      </c>
      <c r="B79" s="3">
        <v>-4.6765651644896766E-2</v>
      </c>
      <c r="C79" s="3">
        <v>-6.3969180373249612E-2</v>
      </c>
      <c r="D79" s="3">
        <v>-1.0478508841059275E-2</v>
      </c>
      <c r="E79" s="3">
        <v>3.4719001364906799E-3</v>
      </c>
      <c r="F79" s="3">
        <v>-1.1813955743997018E-2</v>
      </c>
      <c r="G79" s="3">
        <v>3.2357955533906191E-2</v>
      </c>
      <c r="H79" s="3">
        <v>-8.318648284440755E-2</v>
      </c>
      <c r="I79" s="3">
        <v>-7.167608973189854E-2</v>
      </c>
      <c r="J79" s="3">
        <v>2.0452766179540838E-2</v>
      </c>
      <c r="K79" s="3">
        <v>4.0391676866585069E-2</v>
      </c>
    </row>
    <row r="80" spans="1:11" x14ac:dyDescent="0.25">
      <c r="A80" s="1">
        <v>40301</v>
      </c>
      <c r="B80" s="3">
        <v>-5.028398078008145E-2</v>
      </c>
      <c r="C80" s="3">
        <v>5.1015378548895374E-3</v>
      </c>
      <c r="D80" s="3">
        <v>2.0294027420533212E-3</v>
      </c>
      <c r="E80" s="3">
        <v>8.0686695278970877E-3</v>
      </c>
      <c r="F80" s="3">
        <v>4.5587830625697379E-3</v>
      </c>
      <c r="G80" s="3">
        <v>-5.6351319470189787E-2</v>
      </c>
      <c r="H80" s="3">
        <v>-8.4065897827274916E-2</v>
      </c>
      <c r="I80" s="3">
        <v>-5.7465618860510714E-2</v>
      </c>
      <c r="J80" s="3">
        <v>-0.17015631493143246</v>
      </c>
      <c r="K80" s="3">
        <v>-0.17042016806722693</v>
      </c>
    </row>
    <row r="81" spans="1:11" x14ac:dyDescent="0.25">
      <c r="A81" s="1">
        <v>40330</v>
      </c>
      <c r="B81" s="3">
        <v>-2.0275673331895283E-2</v>
      </c>
      <c r="C81" s="3">
        <v>1.6183213593898849E-3</v>
      </c>
      <c r="D81" s="3">
        <v>2.0126345288839831E-2</v>
      </c>
      <c r="E81" s="3">
        <v>4.1644833368266632E-2</v>
      </c>
      <c r="F81" s="3">
        <v>4.5733388234801442E-2</v>
      </c>
      <c r="G81" s="3">
        <v>-2.8786742383656416E-2</v>
      </c>
      <c r="H81" s="3">
        <v>-3.2940976785213794E-2</v>
      </c>
      <c r="I81" s="3">
        <v>-2.9390307451797826E-2</v>
      </c>
      <c r="J81" s="3">
        <v>4.7650231124807263E-2</v>
      </c>
      <c r="K81" s="3">
        <v>-4.8622366288493257E-3</v>
      </c>
    </row>
    <row r="82" spans="1:11" x14ac:dyDescent="0.25">
      <c r="A82" s="1">
        <v>40360</v>
      </c>
      <c r="B82" s="3">
        <v>4.7206657422306009E-2</v>
      </c>
      <c r="C82" s="3">
        <v>-0.10014933046096586</v>
      </c>
      <c r="D82" s="3">
        <v>5.810567869314176E-2</v>
      </c>
      <c r="E82" s="3">
        <v>4.2419669244796676E-2</v>
      </c>
      <c r="F82" s="3">
        <v>3.4867191671115849E-2</v>
      </c>
      <c r="G82" s="3">
        <v>7.8954142610230482E-2</v>
      </c>
      <c r="H82" s="3">
        <v>0.17734909769757312</v>
      </c>
      <c r="I82" s="3">
        <v>0.12498657790185752</v>
      </c>
      <c r="J82" s="3">
        <v>0.1120711843218003</v>
      </c>
      <c r="K82" s="3">
        <v>0.1665309446254073</v>
      </c>
    </row>
    <row r="83" spans="1:11" x14ac:dyDescent="0.25">
      <c r="A83" s="1">
        <v>40392</v>
      </c>
      <c r="B83" s="3">
        <v>-4.7532969137248915E-2</v>
      </c>
      <c r="C83" s="3">
        <v>1.5724468142989112E-2</v>
      </c>
      <c r="D83" s="3">
        <v>-5.4350286491926303E-2</v>
      </c>
      <c r="E83" s="3">
        <v>-1.9761606022584699E-2</v>
      </c>
      <c r="F83" s="3">
        <v>-4.9901815051156095E-2</v>
      </c>
      <c r="G83" s="3">
        <v>1.4280845262440334E-2</v>
      </c>
      <c r="H83" s="3">
        <v>-6.3363961619775422E-2</v>
      </c>
      <c r="I83" s="3">
        <v>3.5792688746778767E-2</v>
      </c>
      <c r="J83" s="3">
        <v>-6.3514630517440884E-2</v>
      </c>
      <c r="K83" s="3">
        <v>-9.5113438045375309E-2</v>
      </c>
    </row>
    <row r="84" spans="1:11" x14ac:dyDescent="0.25">
      <c r="A84" s="1">
        <v>40422</v>
      </c>
      <c r="B84" s="3">
        <v>2.5359662302247621E-2</v>
      </c>
      <c r="C84" s="3">
        <v>7.9628240839940023E-2</v>
      </c>
      <c r="D84" s="3">
        <v>0.11136329553450919</v>
      </c>
      <c r="E84" s="3">
        <v>0.17249230769230772</v>
      </c>
      <c r="F84" s="3">
        <v>9.0543792189456962E-2</v>
      </c>
      <c r="G84" s="3">
        <v>0.10007056688732829</v>
      </c>
      <c r="H84" s="3">
        <v>5.6714294326882353E-2</v>
      </c>
      <c r="I84" s="3">
        <v>-1.1887209730925163E-2</v>
      </c>
      <c r="J84" s="3">
        <v>0.17730546532975544</v>
      </c>
      <c r="K84" s="3">
        <v>8.4860173577627762E-2</v>
      </c>
    </row>
    <row r="85" spans="1:11" x14ac:dyDescent="0.25">
      <c r="A85" s="1">
        <v>40452</v>
      </c>
      <c r="B85" s="3">
        <v>3.2799742531081977E-2</v>
      </c>
      <c r="C85" s="3">
        <v>2.6693790468629741E-2</v>
      </c>
      <c r="D85" s="3">
        <v>9.6654323326318403E-2</v>
      </c>
      <c r="E85" s="3">
        <v>4.6470372119876036E-2</v>
      </c>
      <c r="F85" s="3">
        <v>3.8553583209888886E-2</v>
      </c>
      <c r="G85" s="3">
        <v>-1.6097993096496399E-2</v>
      </c>
      <c r="H85" s="3">
        <v>7.2821793136814694E-3</v>
      </c>
      <c r="I85" s="3">
        <v>8.9340669588734434E-2</v>
      </c>
      <c r="J85" s="3">
        <v>5.7758051940262733E-2</v>
      </c>
      <c r="K85" s="3">
        <v>0.1657777777777778</v>
      </c>
    </row>
    <row r="86" spans="1:11" x14ac:dyDescent="0.25">
      <c r="A86" s="1">
        <v>40483</v>
      </c>
      <c r="B86" s="3">
        <v>-1.686126243478181E-2</v>
      </c>
      <c r="C86" s="3">
        <v>-7.1740968950102735E-2</v>
      </c>
      <c r="D86" s="3">
        <v>6.029436123139531E-2</v>
      </c>
      <c r="E86" s="3">
        <v>4.3845042731613493E-2</v>
      </c>
      <c r="F86" s="3">
        <v>-2.9482755779162484E-2</v>
      </c>
      <c r="G86" s="3">
        <v>-0.10121080409810623</v>
      </c>
      <c r="H86" s="3">
        <v>-0.13225445417142445</v>
      </c>
      <c r="I86" s="3">
        <v>-9.6481465627942686E-2</v>
      </c>
      <c r="J86" s="3">
        <v>1.1397142209117694E-2</v>
      </c>
      <c r="K86" s="3">
        <v>2.668699961875709E-2</v>
      </c>
    </row>
    <row r="87" spans="1:11" x14ac:dyDescent="0.25">
      <c r="A87" s="1">
        <v>40513</v>
      </c>
      <c r="B87" s="3">
        <v>6.2575246669871909E-2</v>
      </c>
      <c r="C87" s="3">
        <v>2.7254269054560742E-2</v>
      </c>
      <c r="D87" s="3">
        <v>3.5599911625094016E-2</v>
      </c>
      <c r="E87" s="3">
        <v>5.3486830093308901E-2</v>
      </c>
      <c r="F87" s="3">
        <v>4.9224793635944009E-2</v>
      </c>
      <c r="G87" s="3">
        <v>-0.11492227979274605</v>
      </c>
      <c r="H87" s="3">
        <v>4.4079904127579228E-2</v>
      </c>
      <c r="I87" s="3">
        <v>-2.8425241614560282E-4</v>
      </c>
      <c r="J87" s="3">
        <v>7.7255143802208881E-2</v>
      </c>
      <c r="K87" s="3">
        <v>1.2253991830672106E-2</v>
      </c>
    </row>
    <row r="88" spans="1:11" x14ac:dyDescent="0.25">
      <c r="A88" s="1">
        <v>40546</v>
      </c>
      <c r="B88" s="3">
        <v>7.7301422169341549E-2</v>
      </c>
      <c r="C88" s="3">
        <v>4.234346096343411E-2</v>
      </c>
      <c r="D88" s="3">
        <v>1.6963945151634574E-2</v>
      </c>
      <c r="E88" s="3">
        <v>-7.3520692517490827E-2</v>
      </c>
      <c r="F88" s="3">
        <v>-3.6031834079061298E-2</v>
      </c>
      <c r="G88" s="3">
        <v>0.15997346134332435</v>
      </c>
      <c r="H88" s="3">
        <v>0.14681714062796969</v>
      </c>
      <c r="I88" s="3">
        <v>2.3030992323002542E-2</v>
      </c>
      <c r="J88" s="3">
        <v>9.8516783762685467E-2</v>
      </c>
      <c r="K88" s="3">
        <v>-2.05429200293471E-2</v>
      </c>
    </row>
    <row r="89" spans="1:11" x14ac:dyDescent="0.25">
      <c r="A89" s="1">
        <v>40575</v>
      </c>
      <c r="B89" s="3">
        <v>3.9681614142832666E-2</v>
      </c>
      <c r="C89" s="3">
        <v>2.5040112802061643E-3</v>
      </c>
      <c r="D89" s="3">
        <v>5.2676859180148972E-2</v>
      </c>
      <c r="E89" s="3">
        <v>1.7525032244090077E-3</v>
      </c>
      <c r="F89" s="3">
        <v>2.8280114781122023E-2</v>
      </c>
      <c r="G89" s="3">
        <v>-5.7196689321041827E-3</v>
      </c>
      <c r="H89" s="3">
        <v>3.6264481479624022E-2</v>
      </c>
      <c r="I89" s="3">
        <v>4.7248471372984824E-3</v>
      </c>
      <c r="J89" s="3">
        <v>-7.0518286905438821E-2</v>
      </c>
      <c r="K89" s="3">
        <v>-0.11235955056179781</v>
      </c>
    </row>
    <row r="90" spans="1:11" x14ac:dyDescent="0.25">
      <c r="A90" s="1">
        <v>40603</v>
      </c>
      <c r="B90" s="3">
        <v>-3.2762970962834093E-2</v>
      </c>
      <c r="C90" s="3">
        <v>-1.0500278875766877E-2</v>
      </c>
      <c r="D90" s="3">
        <v>5.83967759987436E-3</v>
      </c>
      <c r="E90" s="3">
        <v>-2.2320068404965254E-2</v>
      </c>
      <c r="F90" s="3">
        <v>-5.3288762750702823E-4</v>
      </c>
      <c r="G90" s="3">
        <v>-0.12198835950189502</v>
      </c>
      <c r="H90" s="3">
        <v>-8.7840937306674194E-2</v>
      </c>
      <c r="I90" s="3">
        <v>-1.3739050253573137E-2</v>
      </c>
      <c r="J90" s="3">
        <v>-0.12169015520273196</v>
      </c>
      <c r="K90" s="3">
        <v>-8.4388185654008518E-3</v>
      </c>
    </row>
    <row r="91" spans="1:11" x14ac:dyDescent="0.25">
      <c r="A91" s="1">
        <v>40634</v>
      </c>
      <c r="B91" s="3">
        <v>6.1694765789652717E-3</v>
      </c>
      <c r="C91" s="3">
        <v>7.9330457798254983E-2</v>
      </c>
      <c r="D91" s="3">
        <v>4.4344824135688299E-2</v>
      </c>
      <c r="E91" s="3">
        <v>8.5498009570147637E-2</v>
      </c>
      <c r="F91" s="3">
        <v>6.5272697299537219E-2</v>
      </c>
      <c r="G91" s="3">
        <v>2.4665664624041295E-2</v>
      </c>
      <c r="H91" s="3">
        <v>3.5265024025984415E-2</v>
      </c>
      <c r="I91" s="3">
        <v>1.5893792071801638E-3</v>
      </c>
      <c r="J91" s="3">
        <v>5.4578690807799424E-2</v>
      </c>
      <c r="K91" s="3">
        <v>1.4042553191489393E-2</v>
      </c>
    </row>
    <row r="92" spans="1:11" x14ac:dyDescent="0.25">
      <c r="A92" s="1">
        <v>40665</v>
      </c>
      <c r="B92" s="3">
        <v>-4.7365952453152116E-2</v>
      </c>
      <c r="C92" s="3">
        <v>7.8245271451601983E-2</v>
      </c>
      <c r="D92" s="3">
        <v>-3.9397661704031806E-2</v>
      </c>
      <c r="E92" s="3">
        <v>8.8441485076078408E-3</v>
      </c>
      <c r="F92" s="3">
        <v>-4.968777839585492E-3</v>
      </c>
      <c r="G92" s="3">
        <v>-3.8439839019069444E-2</v>
      </c>
      <c r="H92" s="3">
        <v>5.5577838387079526E-2</v>
      </c>
      <c r="I92" s="3">
        <v>4.107159525809756E-3</v>
      </c>
      <c r="J92" s="3">
        <v>-3.4695281331682315E-2</v>
      </c>
      <c r="K92" s="3">
        <v>-2.0562316407889192E-2</v>
      </c>
    </row>
    <row r="93" spans="1:11" x14ac:dyDescent="0.25">
      <c r="A93" s="1">
        <v>40695</v>
      </c>
      <c r="B93" s="3">
        <v>-3.7470072950670508E-3</v>
      </c>
      <c r="C93" s="3">
        <v>7.6231389643479641E-3</v>
      </c>
      <c r="D93" s="3">
        <v>5.236656997969158E-3</v>
      </c>
      <c r="E93" s="3">
        <v>2.6474260116031267E-2</v>
      </c>
      <c r="F93" s="3">
        <v>2.3929719846157216E-2</v>
      </c>
      <c r="G93" s="3">
        <v>-7.9913944846469853E-2</v>
      </c>
      <c r="H93" s="3">
        <v>-1.8257697617569901E-2</v>
      </c>
      <c r="I93" s="3">
        <v>-2.6680301199219048E-2</v>
      </c>
      <c r="J93" s="3">
        <v>3.7139436780298629E-2</v>
      </c>
      <c r="K93" s="3">
        <v>-9.2973436161096767E-2</v>
      </c>
    </row>
    <row r="94" spans="1:11" x14ac:dyDescent="0.25">
      <c r="A94" s="1">
        <v>40725</v>
      </c>
      <c r="B94" s="3">
        <v>-5.2657999976621017E-2</v>
      </c>
      <c r="C94" s="3">
        <v>-2.0731885723839549E-2</v>
      </c>
      <c r="D94" s="3">
        <v>-0.12196293304809092</v>
      </c>
      <c r="E94" s="3">
        <v>3.1023072795564266E-2</v>
      </c>
      <c r="F94" s="3">
        <v>-2.9239429989846744E-2</v>
      </c>
      <c r="G94" s="3">
        <v>-0.24309157384576141</v>
      </c>
      <c r="H94" s="3">
        <v>-0.14587727842535192</v>
      </c>
      <c r="I94" s="3">
        <v>-1.5377268385864507E-2</v>
      </c>
      <c r="J94" s="3">
        <v>-8.8520625498117567E-2</v>
      </c>
      <c r="K94" s="3">
        <v>-0.20396787907416158</v>
      </c>
    </row>
    <row r="95" spans="1:11" x14ac:dyDescent="0.25">
      <c r="A95" s="1">
        <v>40756</v>
      </c>
      <c r="B95" s="3">
        <v>-0.10018529474065929</v>
      </c>
      <c r="C95" s="3">
        <v>-6.6863008728685225E-2</v>
      </c>
      <c r="D95" s="3">
        <v>-7.9583312614986745E-2</v>
      </c>
      <c r="E95" s="3">
        <v>-7.8160102004527721E-2</v>
      </c>
      <c r="F95" s="3">
        <v>-5.6590821311877537E-2</v>
      </c>
      <c r="G95" s="3">
        <v>-9.9022691529993212E-2</v>
      </c>
      <c r="H95" s="3">
        <v>-0.21104106981919613</v>
      </c>
      <c r="I95" s="3">
        <v>-7.8960131923561994E-2</v>
      </c>
      <c r="J95" s="3">
        <v>-0.23952240246035084</v>
      </c>
      <c r="K95" s="3">
        <v>-0.18680275338238783</v>
      </c>
    </row>
    <row r="96" spans="1:11" x14ac:dyDescent="0.25">
      <c r="A96" s="1">
        <v>40787</v>
      </c>
      <c r="B96" s="3">
        <v>-5.3355487650187383E-3</v>
      </c>
      <c r="C96" s="3">
        <v>-2.5866800841642834E-2</v>
      </c>
      <c r="D96" s="3">
        <v>-0.12846517087353382</v>
      </c>
      <c r="E96" s="3">
        <v>-0.15514970172566289</v>
      </c>
      <c r="F96" s="3">
        <v>-2.8061540852170608E-2</v>
      </c>
      <c r="G96" s="3">
        <v>-7.649149055545168E-2</v>
      </c>
      <c r="H96" s="3">
        <v>-0.16225210995708295</v>
      </c>
      <c r="I96" s="3">
        <v>-3.0963665086887748E-2</v>
      </c>
      <c r="J96" s="3">
        <v>-0.11537546586313541</v>
      </c>
      <c r="K96" s="3">
        <v>-0.19089316987740812</v>
      </c>
    </row>
    <row r="97" spans="1:11" x14ac:dyDescent="0.25">
      <c r="A97" s="1">
        <v>40819</v>
      </c>
      <c r="B97" s="3">
        <v>0.13780634685385929</v>
      </c>
      <c r="C97" s="3">
        <v>5.2896015777240235E-2</v>
      </c>
      <c r="D97" s="3">
        <v>5.1271286727000431E-2</v>
      </c>
      <c r="E97" s="3">
        <v>0.20672910935637989</v>
      </c>
      <c r="F97" s="3">
        <v>6.5582061743464148E-2</v>
      </c>
      <c r="G97" s="3">
        <v>0.12191170514378302</v>
      </c>
      <c r="H97" s="3">
        <v>9.3176052958338751E-2</v>
      </c>
      <c r="I97" s="3">
        <v>6.0102162808390203E-2</v>
      </c>
      <c r="J97" s="3">
        <v>0.21441376837576187</v>
      </c>
      <c r="K97" s="3">
        <v>-6.3131313131311595E-3</v>
      </c>
    </row>
    <row r="98" spans="1:11" x14ac:dyDescent="0.25">
      <c r="A98" s="1">
        <v>40848</v>
      </c>
      <c r="B98" s="3">
        <v>1.3751334962607498E-2</v>
      </c>
      <c r="C98" s="3">
        <v>2.4974356687330612E-3</v>
      </c>
      <c r="D98" s="3">
        <v>-1.5242031234505404E-2</v>
      </c>
      <c r="E98" s="3">
        <v>-2.3396184622200056E-2</v>
      </c>
      <c r="F98" s="3">
        <v>2.2419098648363001E-3</v>
      </c>
      <c r="G98" s="3">
        <v>2.7075812274368172E-2</v>
      </c>
      <c r="H98" s="3">
        <v>-0.10289224379723283</v>
      </c>
      <c r="I98" s="3">
        <v>-1.8351445560795598E-2</v>
      </c>
      <c r="J98" s="3">
        <v>-8.8537053439622149E-2</v>
      </c>
      <c r="K98" s="3">
        <v>-0.21909602468687617</v>
      </c>
    </row>
    <row r="99" spans="1:11" x14ac:dyDescent="0.25">
      <c r="A99" s="1">
        <v>40878</v>
      </c>
      <c r="B99" s="3">
        <v>4.6576378534174179E-2</v>
      </c>
      <c r="C99" s="3">
        <v>8.9461274967747695E-2</v>
      </c>
      <c r="D99" s="3">
        <v>-3.1429457904448843E-2</v>
      </c>
      <c r="E99" s="3">
        <v>-6.1758146216073118E-2</v>
      </c>
      <c r="F99" s="3">
        <v>1.7346731671927795E-2</v>
      </c>
      <c r="G99" s="3">
        <v>-0.10814294083186882</v>
      </c>
      <c r="H99" s="3">
        <v>2.9862745554960046E-2</v>
      </c>
      <c r="I99" s="3">
        <v>-5.2010443864229705E-2</v>
      </c>
      <c r="J99" s="3">
        <v>-3.4214681945175518E-2</v>
      </c>
      <c r="K99" s="3">
        <v>-7.6476057647605677E-2</v>
      </c>
    </row>
    <row r="100" spans="1:11" x14ac:dyDescent="0.25">
      <c r="A100" s="1">
        <v>40910</v>
      </c>
      <c r="B100" s="3">
        <v>2.2911321849490962E-2</v>
      </c>
      <c r="C100" s="3">
        <v>-4.940792160065266E-3</v>
      </c>
      <c r="D100" s="3">
        <v>0.16716121817027196</v>
      </c>
      <c r="E100" s="3">
        <v>0.12980328562363397</v>
      </c>
      <c r="F100" s="3">
        <v>6.5920165713024836E-3</v>
      </c>
      <c r="G100" s="3">
        <v>-9.3273778244876704E-3</v>
      </c>
      <c r="H100" s="3">
        <v>6.6558055866680288E-2</v>
      </c>
      <c r="I100" s="3">
        <v>-5.5194447504682054E-2</v>
      </c>
      <c r="J100" s="3">
        <v>0.21511822907932254</v>
      </c>
      <c r="K100" s="3">
        <v>0.22073999496602048</v>
      </c>
    </row>
    <row r="101" spans="1:11" x14ac:dyDescent="0.25">
      <c r="A101" s="1">
        <v>40940</v>
      </c>
      <c r="B101" s="3">
        <v>3.922785445311372E-2</v>
      </c>
      <c r="C101" s="3">
        <v>-1.6988797242398213E-2</v>
      </c>
      <c r="D101" s="3">
        <v>7.4346300982023106E-2</v>
      </c>
      <c r="E101" s="3">
        <v>2.1842236645032376E-2</v>
      </c>
      <c r="F101" s="3">
        <v>1.3613560427481186E-2</v>
      </c>
      <c r="G101" s="3">
        <v>7.8504177164832045E-2</v>
      </c>
      <c r="H101" s="3">
        <v>0.13175704344874406</v>
      </c>
      <c r="I101" s="3">
        <v>-8.1623134328356883E-4</v>
      </c>
      <c r="J101" s="3">
        <v>0.22030155608460134</v>
      </c>
      <c r="K101" s="3">
        <v>-8.5154639175257563E-2</v>
      </c>
    </row>
    <row r="102" spans="1:11" x14ac:dyDescent="0.25">
      <c r="A102" s="1">
        <v>40969</v>
      </c>
      <c r="B102" s="3">
        <v>-7.6935633806389681E-2</v>
      </c>
      <c r="C102" s="3">
        <v>4.8987685243164325E-2</v>
      </c>
      <c r="D102" s="3">
        <v>-3.9601297932987944E-2</v>
      </c>
      <c r="E102" s="3">
        <v>2.019752569404476E-2</v>
      </c>
      <c r="F102" s="3">
        <v>2.4914437227155917E-2</v>
      </c>
      <c r="G102" s="3">
        <v>-4.4878888479035983E-2</v>
      </c>
      <c r="H102" s="3">
        <v>-2.8933482046619718E-2</v>
      </c>
      <c r="I102" s="3">
        <v>-3.0575329676741814E-2</v>
      </c>
      <c r="J102" s="3">
        <v>-5.4003619090704502E-3</v>
      </c>
      <c r="K102" s="3">
        <v>-3.989181879648418E-2</v>
      </c>
    </row>
    <row r="103" spans="1:11" x14ac:dyDescent="0.25">
      <c r="A103" s="1">
        <v>41001</v>
      </c>
      <c r="B103" s="3">
        <v>-5.674693454885571E-2</v>
      </c>
      <c r="C103" s="3">
        <v>-9.7896810394570988E-3</v>
      </c>
      <c r="D103" s="3">
        <v>-5.2662771597102864E-2</v>
      </c>
      <c r="E103" s="3">
        <v>-1.4307338390360358E-2</v>
      </c>
      <c r="F103" s="3">
        <v>-2.7909248600275327E-2</v>
      </c>
      <c r="G103" s="3">
        <v>-0.15576725025746652</v>
      </c>
      <c r="H103" s="3">
        <v>-0.14687373318147601</v>
      </c>
      <c r="I103" s="3">
        <v>-6.9339111592632729E-2</v>
      </c>
      <c r="J103" s="3">
        <v>-0.1315632373425818</v>
      </c>
      <c r="K103" s="3">
        <v>-0.14906103286384975</v>
      </c>
    </row>
    <row r="104" spans="1:11" x14ac:dyDescent="0.25">
      <c r="A104" s="1">
        <v>41030</v>
      </c>
      <c r="B104" s="3">
        <v>-3.617967923382992E-2</v>
      </c>
      <c r="C104" s="3">
        <v>-5.4254998492919704E-4</v>
      </c>
      <c r="D104" s="3">
        <v>-3.5708831889183945E-2</v>
      </c>
      <c r="E104" s="3">
        <v>-4.5948290820753135E-2</v>
      </c>
      <c r="F104" s="3">
        <v>2.4569662062754682E-2</v>
      </c>
      <c r="G104" s="3">
        <v>-8.1274778896004762E-2</v>
      </c>
      <c r="H104" s="3">
        <v>-0.11182386948602197</v>
      </c>
      <c r="I104" s="3">
        <v>-1.6944767817876127E-2</v>
      </c>
      <c r="J104" s="3">
        <v>2.4943533339880197E-2</v>
      </c>
      <c r="K104" s="3">
        <v>-6.3448275862068915E-2</v>
      </c>
    </row>
    <row r="105" spans="1:11" x14ac:dyDescent="0.25">
      <c r="A105" s="1">
        <v>41061</v>
      </c>
      <c r="B105" s="3">
        <v>3.7838635571581847E-2</v>
      </c>
      <c r="C105" s="3">
        <v>8.6191644215690255E-2</v>
      </c>
      <c r="D105" s="3">
        <v>1.5325357336248624E-2</v>
      </c>
      <c r="E105" s="3">
        <v>3.7739623876906769E-3</v>
      </c>
      <c r="F105" s="3">
        <v>2.949603246302468E-2</v>
      </c>
      <c r="G105" s="3">
        <v>4.3153526970954426E-2</v>
      </c>
      <c r="H105" s="3">
        <v>0.17920302316200654</v>
      </c>
      <c r="I105" s="3">
        <v>0.10723684210526319</v>
      </c>
      <c r="J105" s="3">
        <v>-7.2179106384337777E-2</v>
      </c>
      <c r="K105" s="3">
        <v>0.10721649484536089</v>
      </c>
    </row>
    <row r="106" spans="1:11" x14ac:dyDescent="0.25">
      <c r="A106" s="1">
        <v>41092</v>
      </c>
      <c r="B106" s="3">
        <v>5.9295722381573768E-2</v>
      </c>
      <c r="C106" s="3">
        <v>0.11265155020823681</v>
      </c>
      <c r="D106" s="3">
        <v>5.2595167895992168E-2</v>
      </c>
      <c r="E106" s="3">
        <v>2.2531459788546648E-2</v>
      </c>
      <c r="F106" s="3">
        <v>1.032711322480151E-2</v>
      </c>
      <c r="G106" s="3">
        <v>8.1066030230708019E-2</v>
      </c>
      <c r="H106" s="3">
        <v>-5.4407316721878374E-3</v>
      </c>
      <c r="I106" s="3">
        <v>4.9554367201426253E-2</v>
      </c>
      <c r="J106" s="3">
        <v>0.13200922515576075</v>
      </c>
      <c r="K106" s="3">
        <v>0.15190210162277196</v>
      </c>
    </row>
    <row r="107" spans="1:11" x14ac:dyDescent="0.25">
      <c r="A107" s="1">
        <v>41122</v>
      </c>
      <c r="B107" s="3">
        <v>5.5843605944480235E-2</v>
      </c>
      <c r="C107" s="3">
        <v>-2.1360483106253381E-2</v>
      </c>
      <c r="D107" s="3">
        <v>9.080936390903771E-2</v>
      </c>
      <c r="E107" s="3">
        <v>5.9158648308613726E-2</v>
      </c>
      <c r="F107" s="3">
        <v>2.824837357651222E-2</v>
      </c>
      <c r="G107" s="3">
        <v>0.14261535065126196</v>
      </c>
      <c r="H107" s="3">
        <v>0.14534283821309235</v>
      </c>
      <c r="I107" s="3">
        <v>9.6240942028984477E-3</v>
      </c>
      <c r="J107" s="3">
        <v>4.4243751140302878E-2</v>
      </c>
      <c r="K107" s="3">
        <v>-7.4364896073903064E-2</v>
      </c>
    </row>
    <row r="108" spans="1:11" x14ac:dyDescent="0.25">
      <c r="A108" s="1">
        <v>41155</v>
      </c>
      <c r="B108" s="3">
        <v>-1.4055890239060509E-2</v>
      </c>
      <c r="C108" s="3">
        <v>1.9973821544528869E-2</v>
      </c>
      <c r="D108" s="3">
        <v>-8.2752168549837912E-2</v>
      </c>
      <c r="E108" s="3">
        <v>-9.8617233966020623E-2</v>
      </c>
      <c r="F108" s="3">
        <v>3.0999726902631197E-2</v>
      </c>
      <c r="G108" s="3">
        <v>-3.1557931345398194E-2</v>
      </c>
      <c r="H108" s="3">
        <v>7.0177712309627882E-2</v>
      </c>
      <c r="I108" s="3">
        <v>-9.9136480879219557E-2</v>
      </c>
      <c r="J108" s="3">
        <v>-1.735534783494963E-2</v>
      </c>
      <c r="K108" s="3">
        <v>0.25823353293413187</v>
      </c>
    </row>
    <row r="109" spans="1:11" x14ac:dyDescent="0.25">
      <c r="A109" s="1">
        <v>41183</v>
      </c>
      <c r="B109" s="3">
        <v>5.6994026533825348E-3</v>
      </c>
      <c r="C109" s="3">
        <v>2.2165927802406449E-2</v>
      </c>
      <c r="D109" s="3">
        <v>4.7336387653412748E-2</v>
      </c>
      <c r="E109" s="3">
        <v>7.1793158490635944E-2</v>
      </c>
      <c r="F109" s="3">
        <v>-5.6505722769105593E-2</v>
      </c>
      <c r="G109" s="3">
        <v>0.15495112056926241</v>
      </c>
      <c r="H109" s="3">
        <v>4.9486789443369705E-2</v>
      </c>
      <c r="I109" s="3">
        <v>-8.3779409934022109E-2</v>
      </c>
      <c r="J109" s="3">
        <v>-5.5030374870351006E-2</v>
      </c>
      <c r="K109" s="3">
        <v>0.27800912155463009</v>
      </c>
    </row>
    <row r="110" spans="1:11" x14ac:dyDescent="0.25">
      <c r="A110" s="1">
        <v>41214</v>
      </c>
      <c r="B110" s="3">
        <v>-8.8871751426046197E-3</v>
      </c>
      <c r="C110" s="3">
        <v>1.2375269027587565E-2</v>
      </c>
      <c r="D110" s="3">
        <v>0.12034648621649913</v>
      </c>
      <c r="E110" s="3">
        <v>8.4682656507056864E-2</v>
      </c>
      <c r="F110" s="3">
        <v>3.1976766961867575E-2</v>
      </c>
      <c r="G110" s="3">
        <v>1.8483330454309721E-2</v>
      </c>
      <c r="H110" s="3">
        <v>0.10654388152284344</v>
      </c>
      <c r="I110" s="3">
        <v>-5.3804347826086896E-2</v>
      </c>
      <c r="J110" s="3">
        <v>0.11430632212744607</v>
      </c>
      <c r="K110" s="3">
        <v>9.3560899922420449E-2</v>
      </c>
    </row>
    <row r="111" spans="1:11" x14ac:dyDescent="0.25">
      <c r="A111" s="1">
        <v>41246</v>
      </c>
      <c r="B111" s="3">
        <v>2.9295064233854085E-2</v>
      </c>
      <c r="C111" s="3">
        <v>3.9764217036285521E-2</v>
      </c>
      <c r="D111" s="3">
        <v>1.4618525892359013E-2</v>
      </c>
      <c r="E111" s="3">
        <v>2.890556398179922E-2</v>
      </c>
      <c r="F111" s="3">
        <v>1.2139785953075632E-2</v>
      </c>
      <c r="G111" s="3">
        <v>1.8995929443690773E-2</v>
      </c>
      <c r="H111" s="3">
        <v>-8.3832487632419239E-3</v>
      </c>
      <c r="I111" s="3">
        <v>2.4554853532452459E-2</v>
      </c>
      <c r="J111" s="3">
        <v>5.8002420285368617E-2</v>
      </c>
      <c r="K111" s="3">
        <v>-6.9523269012485844E-3</v>
      </c>
    </row>
    <row r="112" spans="1:11" x14ac:dyDescent="0.25">
      <c r="A112" s="1">
        <v>41275</v>
      </c>
      <c r="B112" s="3">
        <v>2.358362133429126E-2</v>
      </c>
      <c r="C112" s="3">
        <v>6.5830235439900964E-3</v>
      </c>
      <c r="D112" s="3">
        <v>2.3163799866374291E-2</v>
      </c>
      <c r="E112" s="3">
        <v>3.6464919971135323E-4</v>
      </c>
      <c r="F112" s="3">
        <v>-9.5738403376472991E-3</v>
      </c>
      <c r="G112" s="3">
        <v>8.4498446515756775E-2</v>
      </c>
      <c r="H112" s="3">
        <v>8.5126029512477386E-2</v>
      </c>
      <c r="I112" s="3">
        <v>2.803083391730965E-3</v>
      </c>
      <c r="J112" s="3">
        <v>9.1690163323934648E-2</v>
      </c>
      <c r="K112" s="3">
        <v>0.1457351050150022</v>
      </c>
    </row>
    <row r="113" spans="1:11" x14ac:dyDescent="0.25">
      <c r="A113" s="1">
        <v>41306</v>
      </c>
      <c r="B113" s="3">
        <v>-4.0946831492364111E-2</v>
      </c>
      <c r="C113" s="3">
        <v>1.0017696391474873E-2</v>
      </c>
      <c r="D113" s="3">
        <v>5.0267476154618462E-2</v>
      </c>
      <c r="E113" s="3">
        <v>-5.0055065225146911E-2</v>
      </c>
      <c r="F113" s="3">
        <v>-9.9844742057230151E-3</v>
      </c>
      <c r="G113" s="3">
        <v>-4.7577633396429508E-3</v>
      </c>
      <c r="H113" s="3">
        <v>-6.7194255147651538E-2</v>
      </c>
      <c r="I113" s="3">
        <v>-0.11278825995807129</v>
      </c>
      <c r="J113" s="3">
        <v>9.4539606734728832E-2</v>
      </c>
      <c r="K113" s="3">
        <v>1.5587978550941406E-2</v>
      </c>
    </row>
    <row r="114" spans="1:11" x14ac:dyDescent="0.25">
      <c r="A114" s="1">
        <v>41334</v>
      </c>
      <c r="B114" s="3">
        <v>-9.6267969450198887E-3</v>
      </c>
      <c r="C114" s="3">
        <v>9.2175025900420593E-2</v>
      </c>
      <c r="D114" s="3">
        <v>-3.2586736770565339E-2</v>
      </c>
      <c r="E114" s="3">
        <v>1.5161163907122521E-2</v>
      </c>
      <c r="F114" s="3">
        <v>1.6952264381884907E-2</v>
      </c>
      <c r="G114" s="3">
        <v>2.2720263184949019E-2</v>
      </c>
      <c r="H114" s="3">
        <v>-7.1104578972708721E-2</v>
      </c>
      <c r="I114" s="3">
        <v>6.348456206679276E-2</v>
      </c>
      <c r="J114" s="3">
        <v>5.3649740655818956E-3</v>
      </c>
      <c r="K114" s="3">
        <v>-9.6267190569744532E-2</v>
      </c>
    </row>
    <row r="115" spans="1:11" x14ac:dyDescent="0.25">
      <c r="A115" s="1">
        <v>41365</v>
      </c>
      <c r="B115" s="3">
        <v>2.4494853993474397E-2</v>
      </c>
      <c r="C115" s="3">
        <v>4.9842368105348145E-2</v>
      </c>
      <c r="D115" s="3">
        <v>1.5789382262855423E-2</v>
      </c>
      <c r="E115" s="3">
        <v>-3.3697654032056601E-3</v>
      </c>
      <c r="F115" s="3">
        <v>1.4138382379490944E-2</v>
      </c>
      <c r="G115" s="3">
        <v>5.362887012464812E-2</v>
      </c>
      <c r="H115" s="3">
        <v>5.6693128188340713E-2</v>
      </c>
      <c r="I115" s="3">
        <v>2.9625240705080547E-2</v>
      </c>
      <c r="J115" s="3">
        <v>7.0479606749036749E-2</v>
      </c>
      <c r="K115" s="3">
        <v>4.5652173913043326E-2</v>
      </c>
    </row>
    <row r="116" spans="1:11" x14ac:dyDescent="0.25">
      <c r="A116" s="1">
        <v>41395</v>
      </c>
      <c r="B116" s="3">
        <v>8.2309319328168762E-3</v>
      </c>
      <c r="C116" s="3">
        <v>2.431602864773641E-2</v>
      </c>
      <c r="D116" s="3">
        <v>9.4770422219435657E-2</v>
      </c>
      <c r="E116" s="3">
        <v>3.9161730766127167E-2</v>
      </c>
      <c r="F116" s="3">
        <v>6.348305647347674E-2</v>
      </c>
      <c r="G116" s="3">
        <v>4.0833850116872572E-2</v>
      </c>
      <c r="H116" s="3">
        <v>0.10680466345855977</v>
      </c>
      <c r="I116" s="3">
        <v>-3.4527406128614491E-2</v>
      </c>
      <c r="J116" s="3">
        <v>0.18049436342951708</v>
      </c>
      <c r="K116" s="3">
        <v>-2.4038461538461453E-2</v>
      </c>
    </row>
    <row r="117" spans="1:11" x14ac:dyDescent="0.25">
      <c r="A117" s="1">
        <v>41428</v>
      </c>
      <c r="B117" s="3">
        <v>-1.2022277842100082E-2</v>
      </c>
      <c r="C117" s="3">
        <v>-3.5024452256482763E-2</v>
      </c>
      <c r="D117" s="3">
        <v>-9.1457202708120411E-2</v>
      </c>
      <c r="E117" s="3">
        <v>-8.8914773830324201E-2</v>
      </c>
      <c r="F117" s="3">
        <v>-4.5093020119872929E-2</v>
      </c>
      <c r="G117" s="3">
        <v>-7.3834731197580106E-2</v>
      </c>
      <c r="H117" s="3">
        <v>-7.3910193761473009E-2</v>
      </c>
      <c r="I117" s="3">
        <v>-4.8427954105200399E-2</v>
      </c>
      <c r="J117" s="3">
        <v>-0.13488461740638857</v>
      </c>
      <c r="K117" s="3">
        <v>-8.2412461722806474E-2</v>
      </c>
    </row>
    <row r="118" spans="1:11" x14ac:dyDescent="0.25">
      <c r="A118" s="1">
        <v>41456</v>
      </c>
      <c r="B118" s="3">
        <v>6.919079898092062E-2</v>
      </c>
      <c r="C118" s="3">
        <v>6.9096237346921718E-3</v>
      </c>
      <c r="D118" s="3">
        <v>7.3209728441095967E-2</v>
      </c>
      <c r="E118" s="3">
        <v>9.7592158533986728E-2</v>
      </c>
      <c r="F118" s="3">
        <v>5.1754634775209141E-2</v>
      </c>
      <c r="G118" s="3">
        <v>9.1795328582739533E-2</v>
      </c>
      <c r="H118" s="3">
        <v>0.15866571293283216</v>
      </c>
      <c r="I118" s="3">
        <v>1.6598809896648969E-2</v>
      </c>
      <c r="J118" s="3">
        <v>0.1444919287869888</v>
      </c>
      <c r="K118" s="3">
        <v>-0.11694718514219382</v>
      </c>
    </row>
    <row r="119" spans="1:11" x14ac:dyDescent="0.25">
      <c r="A119" s="1">
        <v>41487</v>
      </c>
      <c r="B119" s="3">
        <v>4.5262036910145964E-2</v>
      </c>
      <c r="C119" s="3">
        <v>-9.329399356501078E-2</v>
      </c>
      <c r="D119" s="3">
        <v>-3.1933658585207803E-2</v>
      </c>
      <c r="E119" s="3">
        <v>-3.0005824111822954E-2</v>
      </c>
      <c r="F119" s="3">
        <v>-2.7061218773402063E-3</v>
      </c>
      <c r="G119" s="3">
        <v>2.6650954086026468E-2</v>
      </c>
      <c r="H119" s="3">
        <v>-2.508521146355025E-2</v>
      </c>
      <c r="I119" s="3">
        <v>3.8817005545286554E-2</v>
      </c>
      <c r="J119" s="3">
        <v>-8.6024740297662161E-2</v>
      </c>
      <c r="K119" s="3">
        <v>-6.4245810055865937E-2</v>
      </c>
    </row>
    <row r="120" spans="1:11" x14ac:dyDescent="0.25">
      <c r="A120" s="1">
        <v>41519</v>
      </c>
      <c r="B120" s="3">
        <v>3.7715785968834847E-2</v>
      </c>
      <c r="C120" s="3">
        <v>3.1362732827799444E-2</v>
      </c>
      <c r="D120" s="3">
        <v>7.9618665882179807E-2</v>
      </c>
      <c r="E120" s="3">
        <v>9.8454099318714849E-2</v>
      </c>
      <c r="F120" s="3">
        <v>3.4569402840433749E-2</v>
      </c>
      <c r="G120" s="3">
        <v>7.1343428546201126E-2</v>
      </c>
      <c r="H120" s="3">
        <v>5.4520481970692813E-2</v>
      </c>
      <c r="I120" s="3">
        <v>0.20759193357058137</v>
      </c>
      <c r="J120" s="3">
        <v>8.9687487898385099E-2</v>
      </c>
      <c r="K120" s="3">
        <v>0.29218612818261636</v>
      </c>
    </row>
    <row r="121" spans="1:11" x14ac:dyDescent="0.25">
      <c r="A121" s="1">
        <v>41548</v>
      </c>
      <c r="B121" s="3">
        <v>5.5250957181745219E-2</v>
      </c>
      <c r="C121" s="3">
        <v>4.7612249268327522E-2</v>
      </c>
      <c r="D121" s="3">
        <v>-7.3588642722967057E-3</v>
      </c>
      <c r="E121" s="3">
        <v>-2.6098871065309281E-2</v>
      </c>
      <c r="F121" s="3">
        <v>-2.5741097019906456E-2</v>
      </c>
      <c r="G121" s="3">
        <v>6.3254625623274441E-2</v>
      </c>
      <c r="H121" s="3">
        <v>9.0799333536317084E-2</v>
      </c>
      <c r="I121" s="3">
        <v>9.0741650294695386E-2</v>
      </c>
      <c r="J121" s="3">
        <v>9.469064287998874E-2</v>
      </c>
      <c r="K121" s="3">
        <v>4.7696697920913245E-2</v>
      </c>
    </row>
    <row r="122" spans="1:11" x14ac:dyDescent="0.25">
      <c r="A122" s="1">
        <v>41579</v>
      </c>
      <c r="B122" s="3">
        <v>-1.4801642869863962E-2</v>
      </c>
      <c r="C122" s="3">
        <v>-8.9125102207685547E-3</v>
      </c>
      <c r="D122" s="3">
        <v>4.1913866404055256E-3</v>
      </c>
      <c r="E122" s="3">
        <v>-1.3148441943305111E-2</v>
      </c>
      <c r="F122" s="3">
        <v>2.2931158164539944E-2</v>
      </c>
      <c r="G122" s="3">
        <v>7.3405162390512535E-2</v>
      </c>
      <c r="H122" s="3">
        <v>1.3018354794751552E-2</v>
      </c>
      <c r="I122" s="3">
        <v>-4.8969942586963744E-2</v>
      </c>
      <c r="J122" s="3">
        <v>1.2092781664421182E-2</v>
      </c>
      <c r="K122" s="3">
        <v>-1.0765239948119398E-2</v>
      </c>
    </row>
    <row r="123" spans="1:11" x14ac:dyDescent="0.25">
      <c r="A123" s="1">
        <v>41610</v>
      </c>
      <c r="B123" s="3">
        <v>1.2922113120835022E-2</v>
      </c>
      <c r="C123" s="3">
        <v>-9.2401617028297078E-3</v>
      </c>
      <c r="D123" s="3">
        <v>1.7491735078292381E-2</v>
      </c>
      <c r="E123" s="3">
        <v>-4.4323619294613814E-2</v>
      </c>
      <c r="F123" s="3">
        <v>1.9507330163535119E-3</v>
      </c>
      <c r="G123" s="3">
        <v>-5.199306759098854E-3</v>
      </c>
      <c r="H123" s="3">
        <v>2.5338545702952242E-2</v>
      </c>
      <c r="I123" s="3">
        <v>-3.2907196969697017E-2</v>
      </c>
      <c r="J123" s="3">
        <v>-0.10476007185014113</v>
      </c>
      <c r="K123" s="3">
        <v>-5.3756391766093259E-3</v>
      </c>
    </row>
    <row r="124" spans="1:11" x14ac:dyDescent="0.25">
      <c r="A124" s="1">
        <v>41640</v>
      </c>
      <c r="B124" s="3">
        <v>-4.9180159868825624E-2</v>
      </c>
      <c r="C124" s="3">
        <v>-5.6027423876537141E-2</v>
      </c>
      <c r="D124" s="3">
        <v>-5.536292089739947E-2</v>
      </c>
      <c r="E124" s="3">
        <v>-3.3961246092075736E-3</v>
      </c>
      <c r="F124" s="3">
        <v>-9.3385476291319103E-2</v>
      </c>
      <c r="G124" s="3">
        <v>-0.11298635307781646</v>
      </c>
      <c r="H124" s="3">
        <v>1.4121620991144779E-2</v>
      </c>
      <c r="I124" s="3">
        <v>1.9583843329253448E-2</v>
      </c>
      <c r="J124" s="3">
        <v>0.10795413830168399</v>
      </c>
      <c r="K124" s="3">
        <v>0.12470340100184552</v>
      </c>
    </row>
    <row r="125" spans="1:11" x14ac:dyDescent="0.25">
      <c r="A125" s="1">
        <v>41673</v>
      </c>
      <c r="B125" s="3">
        <v>0.11076989322614139</v>
      </c>
      <c r="C125" s="3">
        <v>3.4756016878133567E-2</v>
      </c>
      <c r="D125" s="3">
        <v>8.115050162468096E-2</v>
      </c>
      <c r="E125" s="3">
        <v>2.0430261628369806E-2</v>
      </c>
      <c r="F125" s="3">
        <v>7.0385988478214978E-2</v>
      </c>
      <c r="G125" s="3">
        <v>4.5582879823233391E-2</v>
      </c>
      <c r="H125" s="3">
        <v>3.4988185759607715E-2</v>
      </c>
      <c r="I125" s="3">
        <v>-1.1644657863145169E-2</v>
      </c>
      <c r="J125" s="3">
        <v>0.11502764932251064</v>
      </c>
      <c r="K125" s="3">
        <v>0.17264416315049225</v>
      </c>
    </row>
    <row r="126" spans="1:11" x14ac:dyDescent="0.25">
      <c r="A126" s="1">
        <v>41701</v>
      </c>
      <c r="B126" s="3">
        <v>2.483201558577286E-2</v>
      </c>
      <c r="C126" s="3">
        <v>4.6461402935451535E-3</v>
      </c>
      <c r="D126" s="3">
        <v>-6.1786345513584751E-3</v>
      </c>
      <c r="E126" s="3">
        <v>-2.1503698386442283E-2</v>
      </c>
      <c r="F126" s="3">
        <v>-1.4435154678083095E-2</v>
      </c>
      <c r="G126" s="3">
        <v>5.1461667905920994E-2</v>
      </c>
      <c r="H126" s="3">
        <v>-5.8359781304173852E-2</v>
      </c>
      <c r="I126" s="3">
        <v>0.18207214866998656</v>
      </c>
      <c r="J126" s="3">
        <v>-2.3114849187934938E-2</v>
      </c>
      <c r="K126" s="3">
        <v>9.0454772613693057E-2</v>
      </c>
    </row>
    <row r="127" spans="1:11" x14ac:dyDescent="0.25">
      <c r="A127" s="1">
        <v>41730</v>
      </c>
      <c r="B127" s="3">
        <v>8.1512508206674106E-2</v>
      </c>
      <c r="C127" s="3">
        <v>3.0915879391299583E-2</v>
      </c>
      <c r="D127" s="3">
        <v>4.972810757245627E-2</v>
      </c>
      <c r="E127" s="3">
        <v>8.8925746363868408E-2</v>
      </c>
      <c r="F127" s="3">
        <v>4.8617155610372054E-2</v>
      </c>
      <c r="G127" s="3">
        <v>1.9502754205746653E-2</v>
      </c>
      <c r="H127" s="3">
        <v>-3.357615718973872E-2</v>
      </c>
      <c r="I127" s="3">
        <v>8.9087546239210891E-2</v>
      </c>
      <c r="J127" s="3">
        <v>-5.5369177329811503E-3</v>
      </c>
      <c r="K127" s="3">
        <v>-4.995417048579287E-2</v>
      </c>
    </row>
    <row r="128" spans="1:11" x14ac:dyDescent="0.25">
      <c r="A128" s="1">
        <v>41760</v>
      </c>
      <c r="B128" s="3">
        <v>0</v>
      </c>
      <c r="C128" s="3">
        <v>4.2637254094987087E-2</v>
      </c>
      <c r="D128" s="3">
        <v>5.743184676435642E-2</v>
      </c>
      <c r="E128" s="3">
        <v>2.9628002343292215E-2</v>
      </c>
      <c r="F128" s="3">
        <v>6.4447292189883765E-2</v>
      </c>
      <c r="G128" s="3">
        <v>-4.8517815420560773E-2</v>
      </c>
      <c r="H128" s="3">
        <v>-2.2550896799656162E-2</v>
      </c>
      <c r="I128" s="3">
        <v>5.0476460043400229E-2</v>
      </c>
      <c r="J128" s="3">
        <v>9.8667024913050572E-3</v>
      </c>
      <c r="K128" s="3">
        <v>7.9112397491558184E-2</v>
      </c>
    </row>
    <row r="129" spans="1:11" x14ac:dyDescent="0.25">
      <c r="A129" s="1">
        <v>41792</v>
      </c>
      <c r="B129" s="3">
        <v>3.7546879417298618E-2</v>
      </c>
      <c r="C129" s="3">
        <v>-1.0960237888476554E-2</v>
      </c>
      <c r="D129" s="3">
        <v>-4.776680855122728E-3</v>
      </c>
      <c r="E129" s="3">
        <v>-3.5282989346115956E-2</v>
      </c>
      <c r="F129" s="3">
        <v>1.5067661355416151E-2</v>
      </c>
      <c r="G129" s="3">
        <v>1.0129302075739588E-2</v>
      </c>
      <c r="H129" s="3">
        <v>-3.5526247406441946E-2</v>
      </c>
      <c r="I129" s="3">
        <v>-2.0388000718519872E-2</v>
      </c>
      <c r="J129" s="3">
        <v>-4.3870281136370148E-2</v>
      </c>
      <c r="K129" s="3">
        <v>-0.1772910147518999</v>
      </c>
    </row>
    <row r="130" spans="1:11" x14ac:dyDescent="0.25">
      <c r="A130" s="1">
        <v>41821</v>
      </c>
      <c r="B130" s="3">
        <v>-8.8859436916241208E-2</v>
      </c>
      <c r="C130" s="3">
        <v>1.3396479931886862E-2</v>
      </c>
      <c r="D130" s="3">
        <v>-8.0435723452782049E-2</v>
      </c>
      <c r="E130" s="3">
        <v>-8.665265951564749E-2</v>
      </c>
      <c r="F130" s="3">
        <v>-3.6308595066169791E-2</v>
      </c>
      <c r="G130" s="3">
        <v>-4.1212443499069384E-2</v>
      </c>
      <c r="H130" s="3">
        <v>-9.0776261385905332E-4</v>
      </c>
      <c r="I130" s="3">
        <v>1.9528743009076699E-2</v>
      </c>
      <c r="J130" s="3">
        <v>-5.5437034288717935E-2</v>
      </c>
      <c r="K130" s="3">
        <v>-0.12160399913062381</v>
      </c>
    </row>
    <row r="131" spans="1:11" x14ac:dyDescent="0.25">
      <c r="A131" s="1">
        <v>41852</v>
      </c>
      <c r="B131" s="3">
        <v>4.3668059145923532E-2</v>
      </c>
      <c r="C131" s="3">
        <v>6.2079920184835213E-2</v>
      </c>
      <c r="D131" s="3">
        <v>1.7399206254855137E-2</v>
      </c>
      <c r="E131" s="3">
        <v>2.6830036080102593E-2</v>
      </c>
      <c r="F131" s="3">
        <v>2.3364169274578961E-2</v>
      </c>
      <c r="G131" s="3">
        <v>2.1511766104112207E-2</v>
      </c>
      <c r="H131" s="3">
        <v>3.7980197773338498E-2</v>
      </c>
      <c r="I131" s="3">
        <v>-1.9604316546762535E-2</v>
      </c>
      <c r="J131" s="3">
        <v>-4.472995090016374E-2</v>
      </c>
      <c r="K131" s="3">
        <v>-1.4969689471730829E-2</v>
      </c>
    </row>
    <row r="132" spans="1:11" x14ac:dyDescent="0.25">
      <c r="A132" s="1">
        <v>41883</v>
      </c>
      <c r="B132" s="3">
        <v>3.773203520081081E-2</v>
      </c>
      <c r="C132" s="3">
        <v>7.2566590445584334E-2</v>
      </c>
      <c r="D132" s="3">
        <v>-5.4727204334637958E-2</v>
      </c>
      <c r="E132" s="3">
        <v>-2.5366505522147587E-2</v>
      </c>
      <c r="F132" s="3">
        <v>-6.8908532989367943E-3</v>
      </c>
      <c r="G132" s="3">
        <v>-7.298817141749081E-2</v>
      </c>
      <c r="H132" s="3">
        <v>2.2187315139015507E-2</v>
      </c>
      <c r="I132" s="3">
        <v>3.3480095395340248E-2</v>
      </c>
      <c r="J132" s="3">
        <v>-3.7435537204242086E-2</v>
      </c>
      <c r="K132" s="3">
        <v>-6.7570962069831597E-2</v>
      </c>
    </row>
    <row r="133" spans="1:11" x14ac:dyDescent="0.25">
      <c r="A133" s="1">
        <v>41913</v>
      </c>
      <c r="B133" s="3">
        <v>-7.8328488393311635E-2</v>
      </c>
      <c r="C133" s="3">
        <v>-0.1775375679911495</v>
      </c>
      <c r="D133" s="3">
        <v>3.4210771406074203E-2</v>
      </c>
      <c r="E133" s="3">
        <v>5.166629028615688E-2</v>
      </c>
      <c r="F133" s="3">
        <v>-3.3132000855292665E-3</v>
      </c>
      <c r="G133" s="3">
        <v>-4.4555076768606372E-2</v>
      </c>
      <c r="H133" s="3">
        <v>-4.5317687173250798E-2</v>
      </c>
      <c r="I133" s="3">
        <v>6.7986154255791353E-2</v>
      </c>
      <c r="J133" s="3">
        <v>3.2786301662454109E-2</v>
      </c>
      <c r="K133" s="3">
        <v>-9.2807112068965525E-2</v>
      </c>
    </row>
    <row r="134" spans="1:11" x14ac:dyDescent="0.25">
      <c r="A134" s="1">
        <v>41946</v>
      </c>
      <c r="B134" s="3">
        <v>-5.1243944663690089E-2</v>
      </c>
      <c r="C134" s="3">
        <v>5.7026761944794613E-2</v>
      </c>
      <c r="D134" s="3">
        <v>4.325679330918808E-2</v>
      </c>
      <c r="E134" s="3">
        <v>6.7602803809991174E-2</v>
      </c>
      <c r="F134" s="3">
        <v>5.1428668530208999E-2</v>
      </c>
      <c r="G134" s="3">
        <v>8.8799369471932676E-2</v>
      </c>
      <c r="H134" s="3">
        <v>2.8320762483642126E-2</v>
      </c>
      <c r="I134" s="3">
        <v>0.11410288373639177</v>
      </c>
      <c r="J134" s="3">
        <v>8.930787260443962E-2</v>
      </c>
      <c r="K134" s="3">
        <v>0.25850037119524871</v>
      </c>
    </row>
    <row r="135" spans="1:11" x14ac:dyDescent="0.25">
      <c r="A135" s="1">
        <v>41974</v>
      </c>
      <c r="B135" s="3">
        <v>-4.0675138129716237E-2</v>
      </c>
      <c r="C135" s="3">
        <v>-2.8260869565217228E-2</v>
      </c>
      <c r="D135" s="3">
        <v>-7.6066400174522597E-2</v>
      </c>
      <c r="E135" s="3">
        <v>-6.8688087695479516E-2</v>
      </c>
      <c r="F135" s="3">
        <v>1.6304040404040432E-2</v>
      </c>
      <c r="G135" s="3">
        <v>-5.7106088635083818E-3</v>
      </c>
      <c r="H135" s="3">
        <v>-4.4608147723289693E-2</v>
      </c>
      <c r="I135" s="3">
        <v>1.3128449947784615E-2</v>
      </c>
      <c r="J135" s="3">
        <v>-6.1829573141790384E-2</v>
      </c>
      <c r="K135" s="3">
        <v>-6.040585181689484E-2</v>
      </c>
    </row>
    <row r="136" spans="1:11" x14ac:dyDescent="0.25">
      <c r="A136" s="1">
        <v>42005</v>
      </c>
      <c r="B136" s="3">
        <v>7.0084518583174438E-2</v>
      </c>
      <c r="C136" s="3">
        <v>8.3797129917607682E-2</v>
      </c>
      <c r="D136" s="3">
        <v>0.10542891116018338</v>
      </c>
      <c r="E136" s="3">
        <v>8.5061744583368792E-2</v>
      </c>
      <c r="F136" s="3">
        <v>8.8964667973971956E-2</v>
      </c>
      <c r="G136" s="3">
        <v>0.1005905193334411</v>
      </c>
      <c r="H136" s="3">
        <v>-5.0445147155998571E-2</v>
      </c>
      <c r="I136" s="3">
        <v>0.10381387130025033</v>
      </c>
      <c r="J136" s="3">
        <v>0.1268676852507673</v>
      </c>
      <c r="K136" s="3">
        <v>-1.4691109994977358E-2</v>
      </c>
    </row>
    <row r="137" spans="1:11" x14ac:dyDescent="0.25">
      <c r="A137" s="1">
        <v>42037</v>
      </c>
      <c r="B137" s="3">
        <v>6.0110042447864664E-2</v>
      </c>
      <c r="C137" s="3">
        <v>6.9514543555147412E-2</v>
      </c>
      <c r="D137" s="3">
        <v>7.4327792171072327E-2</v>
      </c>
      <c r="E137" s="3">
        <v>0.14216456371068054</v>
      </c>
      <c r="F137" s="3">
        <v>5.4464373724503634E-2</v>
      </c>
      <c r="G137" s="3">
        <v>6.1776487449928474E-2</v>
      </c>
      <c r="H137" s="3">
        <v>0.11362833101734471</v>
      </c>
      <c r="I137" s="3">
        <v>4.3556563500533496E-2</v>
      </c>
      <c r="J137" s="3">
        <v>0.25861630325795781</v>
      </c>
      <c r="K137" s="3">
        <v>-9.5960239582005835E-2</v>
      </c>
    </row>
    <row r="138" spans="1:11" x14ac:dyDescent="0.25">
      <c r="A138" s="1">
        <v>42065</v>
      </c>
      <c r="B138" s="3">
        <v>-2.8189774741714579E-2</v>
      </c>
      <c r="C138" s="3">
        <v>4.8238284651775709E-2</v>
      </c>
      <c r="D138" s="3">
        <v>5.1406307213472946E-3</v>
      </c>
      <c r="E138" s="3">
        <v>1.5248266676624045E-3</v>
      </c>
      <c r="F138" s="3">
        <v>1.4395071174716056E-2</v>
      </c>
      <c r="G138" s="3">
        <v>5.1571369237159104E-2</v>
      </c>
      <c r="H138" s="3">
        <v>8.6004060793628989E-2</v>
      </c>
      <c r="I138" s="3">
        <v>-8.1879194630872454E-2</v>
      </c>
      <c r="J138" s="3">
        <v>-1.2579962426577329E-2</v>
      </c>
      <c r="K138" s="3">
        <v>0.15365097265294603</v>
      </c>
    </row>
    <row r="139" spans="1:11" x14ac:dyDescent="0.25">
      <c r="A139" s="1">
        <v>42095</v>
      </c>
      <c r="B139" s="3">
        <v>4.7757992495559121E-2</v>
      </c>
      <c r="C139" s="3">
        <v>-7.9485365935805241E-3</v>
      </c>
      <c r="D139" s="3">
        <v>-4.8852333043985507E-2</v>
      </c>
      <c r="E139" s="3">
        <v>-3.4588830405359205E-2</v>
      </c>
      <c r="F139" s="3">
        <v>-2.5041874403241682E-2</v>
      </c>
      <c r="G139" s="3">
        <v>-9.6438680797841236E-3</v>
      </c>
      <c r="H139" s="3">
        <v>-2.2979784687041649E-3</v>
      </c>
      <c r="I139" s="3">
        <v>-1.5037593984962516E-2</v>
      </c>
      <c r="J139" s="3">
        <v>0.1100621357352729</v>
      </c>
      <c r="K139" s="3">
        <v>-5.7917888563049802E-2</v>
      </c>
    </row>
    <row r="140" spans="1:11" x14ac:dyDescent="0.25">
      <c r="A140" s="1">
        <v>42125</v>
      </c>
      <c r="B140" s="3">
        <v>-5.1768523279456469E-2</v>
      </c>
      <c r="C140" s="3">
        <v>8.8836077632548083E-3</v>
      </c>
      <c r="D140" s="3">
        <v>2.9024536205864759E-2</v>
      </c>
      <c r="E140" s="3">
        <v>3.5441864656620803E-2</v>
      </c>
      <c r="F140" s="3">
        <v>2.6597900069052383E-2</v>
      </c>
      <c r="G140" s="3">
        <v>3.7555252750176571E-3</v>
      </c>
      <c r="H140" s="3">
        <v>-6.4222336637842492E-4</v>
      </c>
      <c r="I140" s="3">
        <v>-2.579869946282165E-2</v>
      </c>
      <c r="J140" s="3">
        <v>2.5449101796407136E-2</v>
      </c>
      <c r="K140" s="3">
        <v>-2.1919584954604332E-2</v>
      </c>
    </row>
    <row r="141" spans="1:11" x14ac:dyDescent="0.25">
      <c r="A141" s="1">
        <v>42156</v>
      </c>
      <c r="B141" s="3">
        <v>-3.9448958427198644E-2</v>
      </c>
      <c r="C141" s="3">
        <v>-1.020751542344378E-2</v>
      </c>
      <c r="D141" s="3">
        <v>-9.9592904914219238E-2</v>
      </c>
      <c r="E141" s="3">
        <v>-3.0834457506263346E-2</v>
      </c>
      <c r="F141" s="3">
        <v>-3.2821824381926601E-2</v>
      </c>
      <c r="G141" s="3">
        <v>-4.9069598039864992E-2</v>
      </c>
      <c r="H141" s="3">
        <v>-1.4199890770071E-2</v>
      </c>
      <c r="I141" s="3">
        <v>-1.052020605093229E-2</v>
      </c>
      <c r="J141" s="3">
        <v>-1.1742304030466499E-2</v>
      </c>
      <c r="K141" s="3">
        <v>-0.16469964195730014</v>
      </c>
    </row>
    <row r="142" spans="1:11" x14ac:dyDescent="0.25">
      <c r="A142" s="1">
        <v>42186</v>
      </c>
      <c r="B142" s="3">
        <v>3.454222495701087E-2</v>
      </c>
      <c r="C142" s="3">
        <v>0.11026745240253866</v>
      </c>
      <c r="D142" s="3">
        <v>2.6804456644598851E-2</v>
      </c>
      <c r="E142" s="3">
        <v>8.6222490201989688E-2</v>
      </c>
      <c r="F142" s="3">
        <v>4.4953724107536397E-2</v>
      </c>
      <c r="G142" s="3">
        <v>8.8266016713091977E-2</v>
      </c>
      <c r="H142" s="3">
        <v>9.5290858725761929E-2</v>
      </c>
      <c r="I142" s="3">
        <v>8.1463557706408674E-2</v>
      </c>
      <c r="J142" s="3">
        <v>-0.1031898950974095</v>
      </c>
      <c r="K142" s="3">
        <v>3.4291157326559629E-2</v>
      </c>
    </row>
    <row r="143" spans="1:11" x14ac:dyDescent="0.25">
      <c r="A143" s="1">
        <v>42219</v>
      </c>
      <c r="B143" s="3">
        <v>-9.4731196745964974E-2</v>
      </c>
      <c r="C143" s="3">
        <v>-0.10003062161886289</v>
      </c>
      <c r="D143" s="3">
        <v>-0.11416889448026424</v>
      </c>
      <c r="E143" s="3">
        <v>-0.12917131704666907</v>
      </c>
      <c r="F143" s="3">
        <v>-9.8692534795445042E-2</v>
      </c>
      <c r="G143" s="3">
        <v>-7.2788353863381783E-2</v>
      </c>
      <c r="H143" s="3">
        <v>-5.1256111954139261E-2</v>
      </c>
      <c r="I143" s="3">
        <v>-5.6614007729337668E-2</v>
      </c>
      <c r="J143" s="3">
        <v>-0.11566006206731916</v>
      </c>
      <c r="K143" s="3">
        <v>-5.1726784343821941E-2</v>
      </c>
    </row>
    <row r="144" spans="1:11" x14ac:dyDescent="0.25">
      <c r="A144" s="1">
        <v>42248</v>
      </c>
      <c r="B144" s="3">
        <v>2.8233819422651685E-4</v>
      </c>
      <c r="C144" s="3">
        <v>-3.720086197119199E-2</v>
      </c>
      <c r="D144" s="3">
        <v>-0.11219598792827978</v>
      </c>
      <c r="E144" s="3">
        <v>2.3876528308028222E-2</v>
      </c>
      <c r="F144" s="3">
        <v>-1.123069723912018E-2</v>
      </c>
      <c r="G144" s="3">
        <v>-8.7646652864044161E-2</v>
      </c>
      <c r="H144" s="3">
        <v>-6.7709258930158223E-2</v>
      </c>
      <c r="I144" s="3">
        <v>-4.0462843179531305E-2</v>
      </c>
      <c r="J144" s="3">
        <v>-0.13618572007018492</v>
      </c>
      <c r="K144" s="3">
        <v>8.416963418582224E-3</v>
      </c>
    </row>
    <row r="145" spans="1:11" x14ac:dyDescent="0.25">
      <c r="A145" s="1">
        <v>42278</v>
      </c>
      <c r="B145" s="3">
        <v>9.8134394901084665E-2</v>
      </c>
      <c r="C145" s="3">
        <v>8.1988455648486225E-2</v>
      </c>
      <c r="D145" s="3">
        <v>0.10137972405518902</v>
      </c>
      <c r="E145" s="3">
        <v>0.11432696638143436</v>
      </c>
      <c r="F145" s="3">
        <v>0.11594888783719837</v>
      </c>
      <c r="G145" s="3">
        <v>0.12216338880484123</v>
      </c>
      <c r="H145" s="3">
        <v>5.337399923751418E-2</v>
      </c>
      <c r="I145" s="3">
        <v>0.18605347914013937</v>
      </c>
      <c r="J145" s="3">
        <v>0.33953125000000006</v>
      </c>
      <c r="K145" s="3">
        <v>7.0786516853932557E-2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F12"/>
  <sheetViews>
    <sheetView tabSelected="1" zoomScale="103" zoomScaleNormal="115" workbookViewId="0">
      <selection activeCell="A9" sqref="A9"/>
    </sheetView>
  </sheetViews>
  <sheetFormatPr baseColWidth="10" defaultRowHeight="12.5" x14ac:dyDescent="0.25"/>
  <cols>
    <col min="1" max="1" width="20.54296875" customWidth="1"/>
    <col min="2" max="3" width="7.81640625" bestFit="1" customWidth="1"/>
    <col min="4" max="4" width="7.26953125" bestFit="1" customWidth="1"/>
    <col min="5" max="5" width="8.26953125" bestFit="1" customWidth="1"/>
    <col min="6" max="6" width="21.54296875" bestFit="1" customWidth="1"/>
    <col min="7" max="7" width="11.453125" bestFit="1" customWidth="1"/>
    <col min="8" max="8" width="12.1796875" bestFit="1" customWidth="1"/>
    <col min="9" max="9" width="12.81640625" bestFit="1" customWidth="1"/>
    <col min="10" max="10" width="8.54296875" bestFit="1" customWidth="1"/>
    <col min="12" max="12" width="16.7265625" bestFit="1" customWidth="1"/>
  </cols>
  <sheetData>
    <row r="1" spans="1:6" ht="13" thickBot="1" x14ac:dyDescent="0.3">
      <c r="A1" s="8" t="s">
        <v>20</v>
      </c>
    </row>
    <row r="2" spans="1:6" ht="13.5" thickBot="1" x14ac:dyDescent="0.35">
      <c r="A2" s="10"/>
      <c r="B2" s="9" t="s">
        <v>11</v>
      </c>
      <c r="C2" s="9" t="s">
        <v>13</v>
      </c>
      <c r="D2" s="9" t="s">
        <v>12</v>
      </c>
      <c r="E2" s="9" t="s">
        <v>19</v>
      </c>
      <c r="F2" s="9" t="s">
        <v>14</v>
      </c>
    </row>
    <row r="3" spans="1:6" ht="13" thickBot="1" x14ac:dyDescent="0.3">
      <c r="A3" s="6" t="s">
        <v>1</v>
      </c>
      <c r="B3" s="7">
        <f>MIN(TOTAL)</f>
        <v>-0.14288226547339866</v>
      </c>
      <c r="C3" s="7">
        <f>MEDIAN(TOTAL)</f>
        <v>1.2922113120835022E-2</v>
      </c>
      <c r="D3" s="7">
        <f>MAX(TOTAL)</f>
        <v>0.16174824198420978</v>
      </c>
      <c r="E3" s="7">
        <f t="shared" ref="E3:E12" si="0">D3-B3</f>
        <v>0.30463050745760845</v>
      </c>
      <c r="F3" s="7">
        <f>COUNTIF(TOTAL,"&lt;0")/143</f>
        <v>0.40559440559440557</v>
      </c>
    </row>
    <row r="4" spans="1:6" ht="13" thickBot="1" x14ac:dyDescent="0.3">
      <c r="A4" s="6" t="s">
        <v>2</v>
      </c>
      <c r="B4" s="7">
        <f>MIN(SANOFI)</f>
        <v>-0.1775375679911495</v>
      </c>
      <c r="C4" s="7">
        <f>MEDIAN(SANOFI)</f>
        <v>7.6231389643479641E-3</v>
      </c>
      <c r="D4" s="7">
        <f>MAX(SANOFI)</f>
        <v>0.11265155020823681</v>
      </c>
      <c r="E4" s="7">
        <f t="shared" si="0"/>
        <v>0.29018911819938631</v>
      </c>
      <c r="F4" s="7">
        <f>COUNTIF(SANOFI,"&lt;0")/143</f>
        <v>0.41958041958041958</v>
      </c>
    </row>
    <row r="5" spans="1:6" ht="13" thickBot="1" x14ac:dyDescent="0.3">
      <c r="A5" s="6" t="s">
        <v>8</v>
      </c>
      <c r="B5" s="7">
        <f>MIN(SCHNEIDER_ELECTRIC)</f>
        <v>-0.22483067605391627</v>
      </c>
      <c r="C5" s="7">
        <f>MEDIAN(SCHNEIDER_ELECTRIC)</f>
        <v>1.6963945151634574E-2</v>
      </c>
      <c r="D5" s="7">
        <f>MAX(SCHNEIDER_ELECTRIC)</f>
        <v>0.17384830110116845</v>
      </c>
      <c r="E5" s="7">
        <f t="shared" si="0"/>
        <v>0.39867897715508471</v>
      </c>
      <c r="F5" s="7">
        <f>COUNTIF(SCHNEIDER_ELECTRIC,"&lt;0")/143</f>
        <v>0.36363636363636365</v>
      </c>
    </row>
    <row r="6" spans="1:6" ht="13" thickBot="1" x14ac:dyDescent="0.3">
      <c r="A6" s="6" t="s">
        <v>3</v>
      </c>
      <c r="B6" s="7">
        <f>MIN(LVMH)</f>
        <v>-0.17113985685791389</v>
      </c>
      <c r="C6" s="7">
        <f>MEDIAN(LVMH)</f>
        <v>1.3534434602186618E-2</v>
      </c>
      <c r="D6" s="7">
        <f>MAX(LVMH)</f>
        <v>0.21359440698629117</v>
      </c>
      <c r="E6" s="7">
        <f t="shared" si="0"/>
        <v>0.38473426384420506</v>
      </c>
      <c r="F6" s="7">
        <f>COUNTIF(LVMH,"&lt;0")/143</f>
        <v>0.3776223776223776</v>
      </c>
    </row>
    <row r="7" spans="1:6" ht="13" thickBot="1" x14ac:dyDescent="0.3">
      <c r="A7" s="6" t="s">
        <v>4</v>
      </c>
      <c r="B7" s="7">
        <f>MIN(AIR_LIQUIDE)</f>
        <v>-0.13059505769903246</v>
      </c>
      <c r="C7" s="7">
        <f>MEDIAN(AIR_LIQUIDE)</f>
        <v>1.4138382379490944E-2</v>
      </c>
      <c r="D7" s="7">
        <f>MAX(AIR_LIQUIDE)</f>
        <v>0.1392397976526103</v>
      </c>
      <c r="E7" s="7">
        <f t="shared" si="0"/>
        <v>0.26983485535164276</v>
      </c>
      <c r="F7" s="7">
        <f>COUNTIF(AIR_LIQUIDE,"&lt;0")/143</f>
        <v>0.36363636363636365</v>
      </c>
    </row>
    <row r="8" spans="1:6" ht="13" thickBot="1" x14ac:dyDescent="0.3">
      <c r="A8" s="6" t="s">
        <v>5</v>
      </c>
      <c r="B8" s="7">
        <f>MIN(CARREFOUR)</f>
        <v>-0.24309157384576141</v>
      </c>
      <c r="C8" s="7">
        <f>MEDIAN(CARREFOUR)</f>
        <v>-2.7143180275955858E-3</v>
      </c>
      <c r="D8" s="7">
        <f>MAX(CARREFOUR)</f>
        <v>0.15997346134332435</v>
      </c>
      <c r="E8" s="7">
        <f t="shared" si="0"/>
        <v>0.40306503518908576</v>
      </c>
      <c r="F8" s="7">
        <f>COUNTIF(CARREFOUR,"&lt;0")/143</f>
        <v>0.51048951048951052</v>
      </c>
    </row>
    <row r="9" spans="1:6" ht="13" thickBot="1" x14ac:dyDescent="0.3">
      <c r="A9" s="6" t="s">
        <v>7</v>
      </c>
      <c r="B9" s="7">
        <f>MIN(BNP_PARIBAS)</f>
        <v>-0.30178881757995424</v>
      </c>
      <c r="C9" s="7">
        <f>MEDIAN(BNP_PARIBAS)</f>
        <v>1.3018354794751552E-2</v>
      </c>
      <c r="D9" s="7">
        <f>MAX(BNP_PARIBAS)</f>
        <v>0.29338042138550091</v>
      </c>
      <c r="E9" s="7">
        <f t="shared" si="0"/>
        <v>0.59516923896545515</v>
      </c>
      <c r="F9" s="7">
        <f>COUNTIF(BNP_PARIBAS,"&lt;0")/143</f>
        <v>0.44055944055944057</v>
      </c>
    </row>
    <row r="10" spans="1:6" ht="13" thickBot="1" x14ac:dyDescent="0.3">
      <c r="A10" s="6" t="s">
        <v>6</v>
      </c>
      <c r="B10" s="7">
        <f>MIN(ORANGE)</f>
        <v>-0.12025593829432901</v>
      </c>
      <c r="C10" s="7">
        <f>MEDIAN(ORANGE)</f>
        <v>-4.8678720445062273E-3</v>
      </c>
      <c r="D10" s="7">
        <f>MAX(ORANGE)</f>
        <v>0.20759193357058137</v>
      </c>
      <c r="E10" s="7">
        <f t="shared" si="0"/>
        <v>0.32784787186491038</v>
      </c>
      <c r="F10" s="7">
        <f>COUNTIF(ORANGE,"&lt;0")/143</f>
        <v>0.52447552447552448</v>
      </c>
    </row>
    <row r="11" spans="1:6" ht="13" thickBot="1" x14ac:dyDescent="0.3">
      <c r="A11" s="6" t="s">
        <v>9</v>
      </c>
      <c r="B11" s="7">
        <f>MIN(RENAULT)</f>
        <v>-0.46448351201666582</v>
      </c>
      <c r="C11" s="7">
        <f>MEDIAN(RENAULT)</f>
        <v>1.1397142209117694E-2</v>
      </c>
      <c r="D11" s="7">
        <f>MAX(RENAULT)</f>
        <v>0.58676900584795333</v>
      </c>
      <c r="E11" s="7">
        <f t="shared" si="0"/>
        <v>1.051252517864619</v>
      </c>
      <c r="F11" s="7">
        <f>COUNTIF(RENAULT,"&lt;0")/143</f>
        <v>0.43356643356643354</v>
      </c>
    </row>
    <row r="12" spans="1:6" ht="13" thickBot="1" x14ac:dyDescent="0.3">
      <c r="A12" s="6" t="s">
        <v>10</v>
      </c>
      <c r="B12" s="7">
        <f>MIN(AIR_France_KLM)</f>
        <v>-0.29756877799104298</v>
      </c>
      <c r="C12" s="7">
        <f>MEDIAN(AIR_France_KLM)</f>
        <v>-6.3131313131311595E-3</v>
      </c>
      <c r="D12" s="7">
        <f>MAX(AIR_France_KLM)</f>
        <v>0.32491846841405958</v>
      </c>
      <c r="E12" s="7">
        <f t="shared" si="0"/>
        <v>0.62248724640510256</v>
      </c>
      <c r="F12" s="7">
        <f>COUNTIF(AIR_France_KLM,"&lt;0")/143</f>
        <v>0.53146853146853146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10</vt:i4>
      </vt:variant>
    </vt:vector>
  </HeadingPairs>
  <TitlesOfParts>
    <vt:vector size="12" baseType="lpstr">
      <vt:lpstr>Rendements</vt:lpstr>
      <vt:lpstr>Statistiques</vt:lpstr>
      <vt:lpstr>AIR_France_KLM</vt:lpstr>
      <vt:lpstr>AIR_LIQUIDE</vt:lpstr>
      <vt:lpstr>BNP_PARIBAS</vt:lpstr>
      <vt:lpstr>CARREFOUR</vt:lpstr>
      <vt:lpstr>LVMH</vt:lpstr>
      <vt:lpstr>ORANGE</vt:lpstr>
      <vt:lpstr>RENAULT</vt:lpstr>
      <vt:lpstr>SANOFI</vt:lpstr>
      <vt:lpstr>SCHNEIDER_ELECTRIC</vt:lpstr>
      <vt:lpstr>TOTAL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cp:lastPrinted>2015-11-10T10:30:42Z</cp:lastPrinted>
  <dcterms:created xsi:type="dcterms:W3CDTF">2015-11-02T12:34:04Z</dcterms:created>
  <dcterms:modified xsi:type="dcterms:W3CDTF">2015-11-13T08:01:51Z</dcterms:modified>
</cp:coreProperties>
</file>