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rederic\OneDrive\Documents\Cours\IAF 2016\TSI\TSIn°4\"/>
    </mc:Choice>
  </mc:AlternateContent>
  <bookViews>
    <workbookView xWindow="240" yWindow="50" windowWidth="20120" windowHeight="8000" activeTab="2"/>
  </bookViews>
  <sheets>
    <sheet name="Data" sheetId="1" r:id="rId1"/>
    <sheet name="Classement" sheetId="4" r:id="rId2"/>
    <sheet name="Feuil1" sheetId="5" r:id="rId3"/>
  </sheets>
  <definedNames>
    <definedName name="poids">Classement!$B$3:$D$3</definedName>
  </definedNames>
  <calcPr calcId="152511"/>
</workbook>
</file>

<file path=xl/calcChain.xml><?xml version="1.0" encoding="utf-8"?>
<calcChain xmlns="http://schemas.openxmlformats.org/spreadsheetml/2006/main">
  <c r="P22" i="5" l="1"/>
  <c r="P19" i="5" l="1"/>
  <c r="P20" i="5"/>
  <c r="P21" i="5"/>
  <c r="P18" i="5"/>
  <c r="P10" i="5" l="1"/>
  <c r="P11" i="5"/>
  <c r="P12" i="5"/>
  <c r="P13" i="5"/>
  <c r="P14" i="5"/>
  <c r="P15" i="5"/>
  <c r="P16" i="5"/>
  <c r="P17" i="5"/>
  <c r="P9" i="5" l="1"/>
  <c r="P8" i="5" l="1"/>
  <c r="P7" i="5" l="1"/>
  <c r="P6" i="5" l="1"/>
  <c r="P5" i="5"/>
  <c r="H3" i="1" l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</calcChain>
</file>

<file path=xl/sharedStrings.xml><?xml version="1.0" encoding="utf-8"?>
<sst xmlns="http://schemas.openxmlformats.org/spreadsheetml/2006/main" count="861" uniqueCount="472">
  <si>
    <t>Titre</t>
  </si>
  <si>
    <t>Critère 1</t>
  </si>
  <si>
    <t>Critère 2</t>
  </si>
  <si>
    <t>Critère 3</t>
  </si>
  <si>
    <t>Tableau 1. Critères de performance des titres</t>
  </si>
  <si>
    <t>Score global</t>
  </si>
  <si>
    <t>Poids</t>
  </si>
  <si>
    <t>Secteur</t>
  </si>
  <si>
    <t>Automobiles &amp; Parts 1</t>
  </si>
  <si>
    <t>Automobiles &amp; Parts</t>
  </si>
  <si>
    <t>Automobiles &amp; Parts 2</t>
  </si>
  <si>
    <t>Automobiles &amp; Parts 3</t>
  </si>
  <si>
    <t>Automobiles &amp; Parts 4</t>
  </si>
  <si>
    <t>Automobiles &amp; Parts 5</t>
  </si>
  <si>
    <t>Automobiles &amp; Parts 6</t>
  </si>
  <si>
    <t>Automobiles &amp; Parts 7</t>
  </si>
  <si>
    <t>Automobiles &amp; Parts 8</t>
  </si>
  <si>
    <t>Automobiles &amp; Parts 9</t>
  </si>
  <si>
    <t>Automobiles &amp; Parts 10</t>
  </si>
  <si>
    <t>Automobiles &amp; Parts 11</t>
  </si>
  <si>
    <t>Automobiles &amp; Parts 12</t>
  </si>
  <si>
    <t>Automobiles &amp; Parts 13</t>
  </si>
  <si>
    <t>Automobiles &amp; Parts 14</t>
  </si>
  <si>
    <t>Basic Resources 1</t>
  </si>
  <si>
    <t>Basic Resources</t>
  </si>
  <si>
    <t>Basic Resources 2</t>
  </si>
  <si>
    <t>Basic Resources 3</t>
  </si>
  <si>
    <t>Basic Resources 4</t>
  </si>
  <si>
    <t>Basic Resources 5</t>
  </si>
  <si>
    <t>Basic Resources 6</t>
  </si>
  <si>
    <t>Basic Resources 7</t>
  </si>
  <si>
    <t>Basic Resources 8</t>
  </si>
  <si>
    <t>Basic Resources 9</t>
  </si>
  <si>
    <t>Basic Resources 10</t>
  </si>
  <si>
    <t>Basic Resources 11</t>
  </si>
  <si>
    <t>Basic Resources 12</t>
  </si>
  <si>
    <t>Basic Resources 13</t>
  </si>
  <si>
    <t>Basic Resources 14</t>
  </si>
  <si>
    <t>Basic Resources 15</t>
  </si>
  <si>
    <t>Basic Resources 16</t>
  </si>
  <si>
    <t>Basic Resources 17</t>
  </si>
  <si>
    <t>Basic Resources 18</t>
  </si>
  <si>
    <t>Chemicals 1</t>
  </si>
  <si>
    <t>Chemicals</t>
  </si>
  <si>
    <t>Chemicals 2</t>
  </si>
  <si>
    <t>Chemicals 3</t>
  </si>
  <si>
    <t>Chemicals 4</t>
  </si>
  <si>
    <t>Chemicals 5</t>
  </si>
  <si>
    <t>Chemicals 6</t>
  </si>
  <si>
    <t>Chemicals 7</t>
  </si>
  <si>
    <t>Chemicals 8</t>
  </si>
  <si>
    <t>Chemicals 9</t>
  </si>
  <si>
    <t>Chemicals 10</t>
  </si>
  <si>
    <t>Chemicals 11</t>
  </si>
  <si>
    <t>Chemicals 12</t>
  </si>
  <si>
    <t>Chemicals 13</t>
  </si>
  <si>
    <t>Chemicals 14</t>
  </si>
  <si>
    <t>Chemicals 15</t>
  </si>
  <si>
    <t>Chemicals 16</t>
  </si>
  <si>
    <t>Chemicals 17</t>
  </si>
  <si>
    <t>Construction &amp; Materials 1</t>
  </si>
  <si>
    <t>Construction &amp; Materials</t>
  </si>
  <si>
    <t>Construction &amp; Materials 2</t>
  </si>
  <si>
    <t>Construction &amp; Materials 3</t>
  </si>
  <si>
    <t>Construction &amp; Materials 4</t>
  </si>
  <si>
    <t>Construction &amp; Materials 5</t>
  </si>
  <si>
    <t>Construction &amp; Materials 6</t>
  </si>
  <si>
    <t>Construction &amp; Materials 7</t>
  </si>
  <si>
    <t>Construction &amp; Materials 8</t>
  </si>
  <si>
    <t>Construction &amp; Materials 9</t>
  </si>
  <si>
    <t>Construction &amp; Materials 10</t>
  </si>
  <si>
    <t>Construction &amp; Materials 11</t>
  </si>
  <si>
    <t>Construction &amp; Materials 12</t>
  </si>
  <si>
    <t>Construction &amp; Materials 13</t>
  </si>
  <si>
    <t>Construction &amp; Materials 14</t>
  </si>
  <si>
    <t>Construction &amp; Materials 15</t>
  </si>
  <si>
    <t>Construction &amp; Materials 16</t>
  </si>
  <si>
    <t>Construction &amp; Materials 17</t>
  </si>
  <si>
    <t>Construction &amp; Materials 18</t>
  </si>
  <si>
    <t>Construction &amp; Materials 19</t>
  </si>
  <si>
    <t>Construction &amp; Materials 20</t>
  </si>
  <si>
    <t>Construction &amp; Materials 21</t>
  </si>
  <si>
    <t>Construction &amp; Materials 22</t>
  </si>
  <si>
    <t>Financial Services 1</t>
  </si>
  <si>
    <t>Financial Services</t>
  </si>
  <si>
    <t>Financial Services 2</t>
  </si>
  <si>
    <t>Financial Services 3</t>
  </si>
  <si>
    <t>Financial Services 4</t>
  </si>
  <si>
    <t>Financial Services 5</t>
  </si>
  <si>
    <t>Financial Services 6</t>
  </si>
  <si>
    <t>Financial Services 7</t>
  </si>
  <si>
    <t>Financial Services 8</t>
  </si>
  <si>
    <t>Financial Services 9</t>
  </si>
  <si>
    <t>Food &amp; Beverage 1</t>
  </si>
  <si>
    <t>Food &amp; Beverage</t>
  </si>
  <si>
    <t>Food &amp; Beverage 2</t>
  </si>
  <si>
    <t>Food &amp; Beverage 3</t>
  </si>
  <si>
    <t>Food &amp; Beverage 4</t>
  </si>
  <si>
    <t>Food &amp; Beverage 5</t>
  </si>
  <si>
    <t>Food &amp; Beverage 6</t>
  </si>
  <si>
    <t>Food &amp; Beverage 7</t>
  </si>
  <si>
    <t>Food &amp; Beverage 8</t>
  </si>
  <si>
    <t>Food &amp; Beverage 9</t>
  </si>
  <si>
    <t>Food &amp; Beverage 10</t>
  </si>
  <si>
    <t>Food &amp; Beverage 11</t>
  </si>
  <si>
    <t>Food &amp; Beverage 12</t>
  </si>
  <si>
    <t>Food &amp; Beverage 13</t>
  </si>
  <si>
    <t>Food &amp; Beverage 14</t>
  </si>
  <si>
    <t>Food &amp; Beverage 15</t>
  </si>
  <si>
    <t>Food &amp; Beverage 16</t>
  </si>
  <si>
    <t>Food &amp; Beverage 17</t>
  </si>
  <si>
    <t>Food &amp; Beverage 18</t>
  </si>
  <si>
    <t>Food &amp; Beverage 19</t>
  </si>
  <si>
    <t>Food &amp; Beverage 20</t>
  </si>
  <si>
    <t>Food &amp; Beverage 21</t>
  </si>
  <si>
    <t>Food &amp; Beverage 22</t>
  </si>
  <si>
    <t>Health Care 1</t>
  </si>
  <si>
    <t>Health Care</t>
  </si>
  <si>
    <t>Health Care 2</t>
  </si>
  <si>
    <t>Health Care 3</t>
  </si>
  <si>
    <t>Health Care 4</t>
  </si>
  <si>
    <t>Health Care 5</t>
  </si>
  <si>
    <t>Health Care 6</t>
  </si>
  <si>
    <t>Health Care 7</t>
  </si>
  <si>
    <t>Health Care 8</t>
  </si>
  <si>
    <t>Health Care 9</t>
  </si>
  <si>
    <t>Health Care 10</t>
  </si>
  <si>
    <t>Health Care 11</t>
  </si>
  <si>
    <t>Health Care 12</t>
  </si>
  <si>
    <t>Health Care 13</t>
  </si>
  <si>
    <t>Health Care 14</t>
  </si>
  <si>
    <t>Health Care 15</t>
  </si>
  <si>
    <t>Health Care 16</t>
  </si>
  <si>
    <t>Health Care 17</t>
  </si>
  <si>
    <t>Health Care 18</t>
  </si>
  <si>
    <t>Health Care 19</t>
  </si>
  <si>
    <t>Health Care 20</t>
  </si>
  <si>
    <t>Health Care 21</t>
  </si>
  <si>
    <t>Health Care 22</t>
  </si>
  <si>
    <t>Health Care 23</t>
  </si>
  <si>
    <t>Health Care 24</t>
  </si>
  <si>
    <t>Health Care 25</t>
  </si>
  <si>
    <t>Health Care 26</t>
  </si>
  <si>
    <t>Health Care 27</t>
  </si>
  <si>
    <t>Health Care 28</t>
  </si>
  <si>
    <t>Health Care 29</t>
  </si>
  <si>
    <t>Industrial Goods &amp; Services 1</t>
  </si>
  <si>
    <t>Industrial Goods &amp; Services</t>
  </si>
  <si>
    <t>Industrial Goods &amp; Services 2</t>
  </si>
  <si>
    <t>Industrial Goods &amp; Services 3</t>
  </si>
  <si>
    <t>Industrial Goods &amp; Services 4</t>
  </si>
  <si>
    <t>Industrial Goods &amp; Services 5</t>
  </si>
  <si>
    <t>Industrial Goods &amp; Services 6</t>
  </si>
  <si>
    <t>Industrial Goods &amp; Services 7</t>
  </si>
  <si>
    <t>Industrial Goods &amp; Services 8</t>
  </si>
  <si>
    <t>Industrial Goods &amp; Services 9</t>
  </si>
  <si>
    <t>Industrial Goods &amp; Services 10</t>
  </si>
  <si>
    <t>Industrial Goods &amp; Services 11</t>
  </si>
  <si>
    <t>Industrial Goods &amp; Services 12</t>
  </si>
  <si>
    <t>Industrial Goods &amp; Services 13</t>
  </si>
  <si>
    <t>Industrial Goods &amp; Services 14</t>
  </si>
  <si>
    <t>Industrial Goods &amp; Services 15</t>
  </si>
  <si>
    <t>Industrial Goods &amp; Services 16</t>
  </si>
  <si>
    <t>Industrial Goods &amp; Services 17</t>
  </si>
  <si>
    <t>Industrial Goods &amp; Services 18</t>
  </si>
  <si>
    <t>Industrial Goods &amp; Services 19</t>
  </si>
  <si>
    <t>Industrial Goods &amp; Services 20</t>
  </si>
  <si>
    <t>Industrial Goods &amp; Services 21</t>
  </si>
  <si>
    <t>Industrial Goods &amp; Services 22</t>
  </si>
  <si>
    <t>Industrial Goods &amp; Services 23</t>
  </si>
  <si>
    <t>Industrial Goods &amp; Services 24</t>
  </si>
  <si>
    <t>Industrial Goods &amp; Services 25</t>
  </si>
  <si>
    <t>Industrial Goods &amp; Services 26</t>
  </si>
  <si>
    <t>Industrial Goods &amp; Services 27</t>
  </si>
  <si>
    <t>Industrial Goods &amp; Services 28</t>
  </si>
  <si>
    <t>Industrial Goods &amp; Services 29</t>
  </si>
  <si>
    <t>Industrial Goods &amp; Services 30</t>
  </si>
  <si>
    <t>Industrial Goods &amp; Services 31</t>
  </si>
  <si>
    <t>Industrial Goods &amp; Services 32</t>
  </si>
  <si>
    <t>Industrial Goods &amp; Services 33</t>
  </si>
  <si>
    <t>Industrial Goods &amp; Services 34</t>
  </si>
  <si>
    <t>Industrial Goods &amp; Services 35</t>
  </si>
  <si>
    <t>Industrial Goods &amp; Services 36</t>
  </si>
  <si>
    <t>Industrial Goods &amp; Services 37</t>
  </si>
  <si>
    <t>Industrial Goods &amp; Services 38</t>
  </si>
  <si>
    <t>Industrial Goods &amp; Services 39</t>
  </si>
  <si>
    <t>Industrial Goods &amp; Services 40</t>
  </si>
  <si>
    <t>Industrial Goods &amp; Services 41</t>
  </si>
  <si>
    <t>Industrial Goods &amp; Services 42</t>
  </si>
  <si>
    <t>Industrial Goods &amp; Services 43</t>
  </si>
  <si>
    <t>Industrial Goods &amp; Services 44</t>
  </si>
  <si>
    <t>Industrial Goods &amp; Services 45</t>
  </si>
  <si>
    <t>Industrial Goods &amp; Services 46</t>
  </si>
  <si>
    <t>Industrial Goods &amp; Services 47</t>
  </si>
  <si>
    <t>Industrial Goods &amp; Services 48</t>
  </si>
  <si>
    <t>Industrial Goods &amp; Services 49</t>
  </si>
  <si>
    <t>Industrial Goods &amp; Services 50</t>
  </si>
  <si>
    <t>Industrial Goods &amp; Services 51</t>
  </si>
  <si>
    <t>Industrial Goods &amp; Services 52</t>
  </si>
  <si>
    <t>Industrial Goods &amp; Services 53</t>
  </si>
  <si>
    <t>Industrial Goods &amp; Services 54</t>
  </si>
  <si>
    <t>Industrial Goods &amp; Services 55</t>
  </si>
  <si>
    <t>Industrial Goods &amp; Services 56</t>
  </si>
  <si>
    <t>Industrial Goods &amp; Services 57</t>
  </si>
  <si>
    <t>Industrial Goods &amp; Services 58</t>
  </si>
  <si>
    <t>Industrial Goods &amp; Services 59</t>
  </si>
  <si>
    <t>Industrial Goods &amp; Services 60</t>
  </si>
  <si>
    <t>Industrial Goods &amp; Services 61</t>
  </si>
  <si>
    <t>Industrial Goods &amp; Services 62</t>
  </si>
  <si>
    <t>Industrial Goods &amp; Services 63</t>
  </si>
  <si>
    <t>Industrial Goods &amp; Services 64</t>
  </si>
  <si>
    <t>Industrial Goods &amp; Services 65</t>
  </si>
  <si>
    <t>Industrial Goods &amp; Services 66</t>
  </si>
  <si>
    <t>Industrial Goods &amp; Services 67</t>
  </si>
  <si>
    <t>Industrial Goods &amp; Services 68</t>
  </si>
  <si>
    <t>Industrial Goods &amp; Services 69</t>
  </si>
  <si>
    <t>Industrial Goods &amp; Services 70</t>
  </si>
  <si>
    <t>Industrial Goods &amp; Services 71</t>
  </si>
  <si>
    <t>Industrial Goods &amp; Services 72</t>
  </si>
  <si>
    <t>Industrial Goods &amp; Services 73</t>
  </si>
  <si>
    <t>Industrial Goods &amp; Services 74</t>
  </si>
  <si>
    <t>Industrial Goods &amp; Services 75</t>
  </si>
  <si>
    <t>Industrial Goods &amp; Services 76</t>
  </si>
  <si>
    <t>Industrial Goods &amp; Services 77</t>
  </si>
  <si>
    <t>Industrial Goods &amp; Services 78</t>
  </si>
  <si>
    <t>Industrial Goods &amp; Services 79</t>
  </si>
  <si>
    <t>Industrial Goods &amp; Services 80</t>
  </si>
  <si>
    <t>Industrial Goods &amp; Services 81</t>
  </si>
  <si>
    <t>Industrial Goods &amp; Services 82</t>
  </si>
  <si>
    <t>Industrial Goods &amp; Services 83</t>
  </si>
  <si>
    <t>Industrial Goods &amp; Services 84</t>
  </si>
  <si>
    <t>Insurance 1</t>
  </si>
  <si>
    <t>Insurance</t>
  </si>
  <si>
    <t>Insurance 2</t>
  </si>
  <si>
    <t>Media 1</t>
  </si>
  <si>
    <t>Media</t>
  </si>
  <si>
    <t>Media 2</t>
  </si>
  <si>
    <t>Media 3</t>
  </si>
  <si>
    <t>Media 4</t>
  </si>
  <si>
    <t>Media 5</t>
  </si>
  <si>
    <t>Media 6</t>
  </si>
  <si>
    <t>Media 7</t>
  </si>
  <si>
    <t>Media 8</t>
  </si>
  <si>
    <t>Media 9</t>
  </si>
  <si>
    <t>Media 10</t>
  </si>
  <si>
    <t>Media 11</t>
  </si>
  <si>
    <t>Media 12</t>
  </si>
  <si>
    <t>Media 13</t>
  </si>
  <si>
    <t>Media 14</t>
  </si>
  <si>
    <t>Media 15</t>
  </si>
  <si>
    <t>Media 16</t>
  </si>
  <si>
    <t>Media 17</t>
  </si>
  <si>
    <t>Media 18</t>
  </si>
  <si>
    <t>Media 19</t>
  </si>
  <si>
    <t>Media 20</t>
  </si>
  <si>
    <t>Media 21</t>
  </si>
  <si>
    <t>Media 22</t>
  </si>
  <si>
    <t>Oil &amp; Gas 1</t>
  </si>
  <si>
    <t>Oil &amp; Gas</t>
  </si>
  <si>
    <t>Oil &amp; Gas 2</t>
  </si>
  <si>
    <t>Oil &amp; Gas 3</t>
  </si>
  <si>
    <t>Oil &amp; Gas 4</t>
  </si>
  <si>
    <t>Oil &amp; Gas 5</t>
  </si>
  <si>
    <t>Oil &amp; Gas 6</t>
  </si>
  <si>
    <t>Oil &amp; Gas 7</t>
  </si>
  <si>
    <t>Oil &amp; Gas 8</t>
  </si>
  <si>
    <t>Oil &amp; Gas 9</t>
  </si>
  <si>
    <t>Oil &amp; Gas 10</t>
  </si>
  <si>
    <t>Oil &amp; Gas 11</t>
  </si>
  <si>
    <t>Oil &amp; Gas 12</t>
  </si>
  <si>
    <t>Oil &amp; Gas 13</t>
  </si>
  <si>
    <t>Oil &amp; Gas 14</t>
  </si>
  <si>
    <t>Oil &amp; Gas 15</t>
  </si>
  <si>
    <t>Oil &amp; Gas 16</t>
  </si>
  <si>
    <t>Oil &amp; Gas 17</t>
  </si>
  <si>
    <t>Oil &amp; Gas 18</t>
  </si>
  <si>
    <t>Oil &amp; Gas 19</t>
  </si>
  <si>
    <t>Oil &amp; Gas 20</t>
  </si>
  <si>
    <t>Oil &amp; Gas 21</t>
  </si>
  <si>
    <t>Oil &amp; Gas 22</t>
  </si>
  <si>
    <t>Oil &amp; Gas 23</t>
  </si>
  <si>
    <t>Oil &amp; Gas 24</t>
  </si>
  <si>
    <t>Personal &amp; Household Goods 1</t>
  </si>
  <si>
    <t>Personal &amp; Household Goods</t>
  </si>
  <si>
    <t>Personal &amp; Household Goods 2</t>
  </si>
  <si>
    <t>Personal &amp; Household Goods 3</t>
  </si>
  <si>
    <t>Personal &amp; Household Goods 4</t>
  </si>
  <si>
    <t>Personal &amp; Household Goods 5</t>
  </si>
  <si>
    <t>Personal &amp; Household Goods 6</t>
  </si>
  <si>
    <t>Personal &amp; Household Goods 7</t>
  </si>
  <si>
    <t>Personal &amp; Household Goods 8</t>
  </si>
  <si>
    <t>Personal &amp; Household Goods 9</t>
  </si>
  <si>
    <t>Personal &amp; Household Goods 10</t>
  </si>
  <si>
    <t>Personal &amp; Household Goods 11</t>
  </si>
  <si>
    <t>Personal &amp; Household Goods 12</t>
  </si>
  <si>
    <t>Personal &amp; Household Goods 13</t>
  </si>
  <si>
    <t>Personal &amp; Household Goods 14</t>
  </si>
  <si>
    <t>Personal &amp; Household Goods 15</t>
  </si>
  <si>
    <t>Personal &amp; Household Goods 16</t>
  </si>
  <si>
    <t>Personal &amp; Household Goods 17</t>
  </si>
  <si>
    <t>Personal &amp; Household Goods 18</t>
  </si>
  <si>
    <t>Personal &amp; Household Goods 19</t>
  </si>
  <si>
    <t>Personal &amp; Household Goods 20</t>
  </si>
  <si>
    <t>Personal &amp; Household Goods 21</t>
  </si>
  <si>
    <t>Personal &amp; Household Goods 22</t>
  </si>
  <si>
    <t>Personal &amp; Household Goods 23</t>
  </si>
  <si>
    <t>Personal &amp; Household Goods 24</t>
  </si>
  <si>
    <t>Personal &amp; Household Goods 25</t>
  </si>
  <si>
    <t>Personal &amp; Household Goods 26</t>
  </si>
  <si>
    <t>Real Estate 1</t>
  </si>
  <si>
    <t>Real Estate</t>
  </si>
  <si>
    <t>Real Estate 2</t>
  </si>
  <si>
    <t>Real Estate 3</t>
  </si>
  <si>
    <t>Real Estate 4</t>
  </si>
  <si>
    <t>Real Estate 5</t>
  </si>
  <si>
    <t>Real Estate 6</t>
  </si>
  <si>
    <t>Real Estate 7</t>
  </si>
  <si>
    <t>Real Estate 8</t>
  </si>
  <si>
    <t>Real Estate 9</t>
  </si>
  <si>
    <t>Real Estate 10</t>
  </si>
  <si>
    <t>Real Estate 11</t>
  </si>
  <si>
    <t>Real Estate 12</t>
  </si>
  <si>
    <t>Real Estate 13</t>
  </si>
  <si>
    <t>Real Estate 14</t>
  </si>
  <si>
    <t>Real Estate 15</t>
  </si>
  <si>
    <t>Real Estate 16</t>
  </si>
  <si>
    <t>Real Estate 17</t>
  </si>
  <si>
    <t>Retail 1</t>
  </si>
  <si>
    <t>Retail</t>
  </si>
  <si>
    <t>Retail 2</t>
  </si>
  <si>
    <t>Retail 3</t>
  </si>
  <si>
    <t>Retail 4</t>
  </si>
  <si>
    <t>Retail 5</t>
  </si>
  <si>
    <t>Retail 6</t>
  </si>
  <si>
    <t>Retail 7</t>
  </si>
  <si>
    <t>Retail 8</t>
  </si>
  <si>
    <t>Retail 9</t>
  </si>
  <si>
    <t>Retail 10</t>
  </si>
  <si>
    <t>Retail 11</t>
  </si>
  <si>
    <t>Retail 12</t>
  </si>
  <si>
    <t>Retail 13</t>
  </si>
  <si>
    <t>Retail 14</t>
  </si>
  <si>
    <t>Retail 15</t>
  </si>
  <si>
    <t>Retail 16</t>
  </si>
  <si>
    <t>Retail 17</t>
  </si>
  <si>
    <t>Retail 18</t>
  </si>
  <si>
    <t>Retail 19</t>
  </si>
  <si>
    <t>Retail 20</t>
  </si>
  <si>
    <t>Technology 1</t>
  </si>
  <si>
    <t>Technology</t>
  </si>
  <si>
    <t>Technology 2</t>
  </si>
  <si>
    <t>Technology 3</t>
  </si>
  <si>
    <t>Technology 4</t>
  </si>
  <si>
    <t>Technology 5</t>
  </si>
  <si>
    <t>Technology 6</t>
  </si>
  <si>
    <t>Technology 7</t>
  </si>
  <si>
    <t>Technology 8</t>
  </si>
  <si>
    <t>Technology 9</t>
  </si>
  <si>
    <t>Technology 10</t>
  </si>
  <si>
    <t>Technology 11</t>
  </si>
  <si>
    <t>Technology 12</t>
  </si>
  <si>
    <t>Technology 13</t>
  </si>
  <si>
    <t>Technology 14</t>
  </si>
  <si>
    <t>Technology 15</t>
  </si>
  <si>
    <t>Technology 16</t>
  </si>
  <si>
    <t>Technology 17</t>
  </si>
  <si>
    <t>Technology 18</t>
  </si>
  <si>
    <t>Technology 19</t>
  </si>
  <si>
    <t>Technology 20</t>
  </si>
  <si>
    <t>Technology 21</t>
  </si>
  <si>
    <t>Technology 22</t>
  </si>
  <si>
    <t>Telecommunications 1</t>
  </si>
  <si>
    <t>Telecommunications</t>
  </si>
  <si>
    <t>Telecommunications 2</t>
  </si>
  <si>
    <t>Telecommunications 3</t>
  </si>
  <si>
    <t>Telecommunications 4</t>
  </si>
  <si>
    <t>Telecommunications 5</t>
  </si>
  <si>
    <t>Telecommunications 6</t>
  </si>
  <si>
    <t>Telecommunications 7</t>
  </si>
  <si>
    <t>Telecommunications 8</t>
  </si>
  <si>
    <t>Telecommunications 9</t>
  </si>
  <si>
    <t>Telecommunications 10</t>
  </si>
  <si>
    <t>Telecommunications 11</t>
  </si>
  <si>
    <t>Telecommunications 12</t>
  </si>
  <si>
    <t>Telecommunications 13</t>
  </si>
  <si>
    <t>Telecommunications 14</t>
  </si>
  <si>
    <t>Telecommunications 15</t>
  </si>
  <si>
    <t>Travel &amp; Leisure 1</t>
  </si>
  <si>
    <t>Travel &amp; Leisure</t>
  </si>
  <si>
    <t>Travel &amp; Leisure 2</t>
  </si>
  <si>
    <t>Travel &amp; Leisure 3</t>
  </si>
  <si>
    <t>Travel &amp; Leisure 4</t>
  </si>
  <si>
    <t>Travel &amp; Leisure 5</t>
  </si>
  <si>
    <t>Travel &amp; Leisure 6</t>
  </si>
  <si>
    <t>Travel &amp; Leisure 7</t>
  </si>
  <si>
    <t>Travel &amp; Leisure 8</t>
  </si>
  <si>
    <t>Travel &amp; Leisure 9</t>
  </si>
  <si>
    <t>Travel &amp; Leisure 10</t>
  </si>
  <si>
    <t>Travel &amp; Leisure 11</t>
  </si>
  <si>
    <t>Travel &amp; Leisure 12</t>
  </si>
  <si>
    <t>Travel &amp; Leisure 13</t>
  </si>
  <si>
    <t>Travel &amp; Leisure 14</t>
  </si>
  <si>
    <t>Travel &amp; Leisure 15</t>
  </si>
  <si>
    <t>Travel &amp; Leisure 16</t>
  </si>
  <si>
    <t>Travel &amp; Leisure 17</t>
  </si>
  <si>
    <t>Travel &amp; Leisure 18</t>
  </si>
  <si>
    <t>Travel &amp; Leisure 19</t>
  </si>
  <si>
    <t>Travel &amp; Leisure 20</t>
  </si>
  <si>
    <t>Utilities 1</t>
  </si>
  <si>
    <t>Utilities</t>
  </si>
  <si>
    <t>Utilities 2</t>
  </si>
  <si>
    <t>Utilities 3</t>
  </si>
  <si>
    <t>Utilities 4</t>
  </si>
  <si>
    <t>Utilities 5</t>
  </si>
  <si>
    <t>Utilities 6</t>
  </si>
  <si>
    <t>Utilities 7</t>
  </si>
  <si>
    <t>Utilities 8</t>
  </si>
  <si>
    <t>Utilities 9</t>
  </si>
  <si>
    <t>Utilities 10</t>
  </si>
  <si>
    <t>Utilities 11</t>
  </si>
  <si>
    <t>Utilities 12</t>
  </si>
  <si>
    <t>Utilities 13</t>
  </si>
  <si>
    <t>Utilities 14</t>
  </si>
  <si>
    <t>Utilities 15</t>
  </si>
  <si>
    <t>Utilities 16</t>
  </si>
  <si>
    <t>Utilities 17</t>
  </si>
  <si>
    <t>Utilities 18</t>
  </si>
  <si>
    <t>Utilities 19</t>
  </si>
  <si>
    <t>Titres</t>
  </si>
  <si>
    <t>C1</t>
  </si>
  <si>
    <t>C2</t>
  </si>
  <si>
    <t>Rang C1</t>
  </si>
  <si>
    <t>Rang C2</t>
  </si>
  <si>
    <t>Rang C3</t>
  </si>
  <si>
    <t>C3</t>
  </si>
  <si>
    <t>Tableau 2. Poids des critères dans le score</t>
  </si>
  <si>
    <t>Rang</t>
  </si>
  <si>
    <t>Tableau 3. Top 5 des meilleurs titres.</t>
  </si>
  <si>
    <t>Barême</t>
  </si>
  <si>
    <t>Dim</t>
  </si>
  <si>
    <t>Set</t>
  </si>
  <si>
    <t>nbC</t>
  </si>
  <si>
    <t>rgD</t>
  </si>
  <si>
    <t>inputbox</t>
  </si>
  <si>
    <t>titre tab</t>
  </si>
  <si>
    <t>name</t>
  </si>
  <si>
    <t>clear</t>
  </si>
  <si>
    <t>rang</t>
  </si>
  <si>
    <t>score global</t>
  </si>
  <si>
    <t>tri</t>
  </si>
  <si>
    <t>report</t>
  </si>
  <si>
    <t>mise en forme</t>
  </si>
  <si>
    <t>Ben Salem</t>
  </si>
  <si>
    <t>Total</t>
  </si>
  <si>
    <t>Claude</t>
  </si>
  <si>
    <t>nbT</t>
  </si>
  <si>
    <t>Ghribi</t>
  </si>
  <si>
    <t>Houcham</t>
  </si>
  <si>
    <t>Karam</t>
  </si>
  <si>
    <t>Marmin</t>
  </si>
  <si>
    <t>Martin</t>
  </si>
  <si>
    <t>Tossan</t>
  </si>
  <si>
    <t>Amato</t>
  </si>
  <si>
    <t>Beddai</t>
  </si>
  <si>
    <t>Chabanne</t>
  </si>
  <si>
    <t>hardouin</t>
  </si>
  <si>
    <t>Kainz</t>
  </si>
  <si>
    <t>Masson</t>
  </si>
  <si>
    <t>Pan</t>
  </si>
  <si>
    <t>Pomares</t>
  </si>
  <si>
    <t>Rochut</t>
  </si>
  <si>
    <t>Note ajustée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</si>
</sst>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ahoma"/>
      <family val="2"/>
    </font>
    <font>
      <sz val="10"/>
      <name val="Arial"/>
      <family val="2"/>
    </font>
    <font>
      <b/>
      <sz val="11"/>
      <color indexed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0" fontId="2" fillId="0" borderId="0" xfId="0" applyFont="1" applyFill="1"/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right" indent="2"/>
    </xf>
    <xf numFmtId="2" fontId="0" fillId="0" borderId="0" xfId="0" applyNumberFormat="1" applyFill="1" applyAlignment="1">
      <alignment horizontal="right" indent="2"/>
    </xf>
    <xf numFmtId="10" fontId="3" fillId="0" borderId="0" xfId="0" applyNumberFormat="1" applyFont="1" applyFill="1" applyAlignment="1">
      <alignment horizontal="right" indent="2"/>
    </xf>
    <xf numFmtId="0" fontId="0" fillId="0" borderId="0" xfId="0" applyAlignment="1">
      <alignment horizontal="right" indent="2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Border="1"/>
    <xf numFmtId="0" fontId="4" fillId="0" borderId="0" xfId="0" applyFont="1"/>
    <xf numFmtId="0" fontId="0" fillId="0" borderId="2" xfId="0" applyBorder="1" applyAlignment="1">
      <alignment horizontal="center"/>
    </xf>
    <xf numFmtId="0" fontId="0" fillId="0" borderId="3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I404"/>
  <sheetViews>
    <sheetView zoomScaleNormal="100" workbookViewId="0">
      <selection activeCell="A3" sqref="A3:A7"/>
    </sheetView>
  </sheetViews>
  <sheetFormatPr baseColWidth="10" defaultRowHeight="14.5" x14ac:dyDescent="0.35"/>
  <cols>
    <col min="1" max="1" width="25.1796875" customWidth="1"/>
    <col min="2" max="2" width="24.26953125" bestFit="1" customWidth="1"/>
    <col min="3" max="3" width="9.54296875" bestFit="1" customWidth="1"/>
    <col min="4" max="4" width="8" bestFit="1" customWidth="1"/>
    <col min="5" max="5" width="11.36328125" bestFit="1" customWidth="1"/>
    <col min="6" max="8" width="7.453125" bestFit="1" customWidth="1"/>
    <col min="9" max="9" width="10.81640625" style="4" bestFit="1" customWidth="1"/>
  </cols>
  <sheetData>
    <row r="1" spans="1:9" x14ac:dyDescent="0.35">
      <c r="A1" s="1" t="s">
        <v>4</v>
      </c>
    </row>
    <row r="2" spans="1:9" x14ac:dyDescent="0.35">
      <c r="A2" t="s">
        <v>0</v>
      </c>
      <c r="B2" t="s">
        <v>7</v>
      </c>
      <c r="C2" s="4" t="s">
        <v>429</v>
      </c>
      <c r="D2" s="4" t="s">
        <v>430</v>
      </c>
      <c r="E2" s="4" t="s">
        <v>434</v>
      </c>
      <c r="F2" s="4" t="s">
        <v>431</v>
      </c>
      <c r="G2" s="4" t="s">
        <v>432</v>
      </c>
      <c r="H2" s="4" t="s">
        <v>433</v>
      </c>
      <c r="I2" s="4" t="s">
        <v>5</v>
      </c>
    </row>
    <row r="3" spans="1:9" x14ac:dyDescent="0.35">
      <c r="A3" s="2" t="s">
        <v>110</v>
      </c>
      <c r="B3" s="2" t="s">
        <v>94</v>
      </c>
      <c r="C3" s="5">
        <v>34532</v>
      </c>
      <c r="D3" s="6">
        <v>2.3656148755036588</v>
      </c>
      <c r="E3" s="7">
        <v>0.17004739173236949</v>
      </c>
      <c r="F3" s="8">
        <f t="shared" ref="F3:F66" si="0">RANK(C3,$C$3:$C$404)</f>
        <v>30</v>
      </c>
      <c r="G3" s="8">
        <f t="shared" ref="G3:G66" si="1">RANK(D3,$D$3:$D$404)</f>
        <v>66</v>
      </c>
      <c r="H3" s="8">
        <f t="shared" ref="H3:H66" si="2">RANK(E3,$E$3:$E$404)</f>
        <v>57</v>
      </c>
      <c r="I3" s="4">
        <v>53.4</v>
      </c>
    </row>
    <row r="4" spans="1:9" x14ac:dyDescent="0.35">
      <c r="A4" s="2" t="s">
        <v>343</v>
      </c>
      <c r="B4" s="2" t="s">
        <v>328</v>
      </c>
      <c r="C4" s="5">
        <v>9089</v>
      </c>
      <c r="D4" s="6">
        <v>1.6124972783118037</v>
      </c>
      <c r="E4" s="7">
        <v>0.24654518657175051</v>
      </c>
      <c r="F4" s="8">
        <f t="shared" si="0"/>
        <v>101</v>
      </c>
      <c r="G4" s="8">
        <f t="shared" si="1"/>
        <v>121</v>
      </c>
      <c r="H4" s="8">
        <f t="shared" si="2"/>
        <v>23</v>
      </c>
      <c r="I4" s="4">
        <v>58.2</v>
      </c>
    </row>
    <row r="5" spans="1:9" x14ac:dyDescent="0.35">
      <c r="A5" s="2" t="s">
        <v>123</v>
      </c>
      <c r="B5" s="2" t="s">
        <v>117</v>
      </c>
      <c r="C5" s="5">
        <v>11356</v>
      </c>
      <c r="D5" s="6">
        <v>2.2187154817004395</v>
      </c>
      <c r="E5" s="7">
        <v>0.16566674010390314</v>
      </c>
      <c r="F5" s="8">
        <f t="shared" si="0"/>
        <v>82</v>
      </c>
      <c r="G5" s="8">
        <f t="shared" si="1"/>
        <v>74</v>
      </c>
      <c r="H5" s="8">
        <f t="shared" si="2"/>
        <v>60</v>
      </c>
      <c r="I5" s="4">
        <v>67.2</v>
      </c>
    </row>
    <row r="6" spans="1:9" x14ac:dyDescent="0.35">
      <c r="A6" s="2" t="s">
        <v>380</v>
      </c>
      <c r="B6" s="2" t="s">
        <v>372</v>
      </c>
      <c r="C6" s="5">
        <v>4256</v>
      </c>
      <c r="D6" s="6">
        <v>1.3403717946531812</v>
      </c>
      <c r="E6" s="7">
        <v>0.358172939907343</v>
      </c>
      <c r="F6" s="8">
        <f t="shared" si="0"/>
        <v>185</v>
      </c>
      <c r="G6" s="8">
        <f t="shared" si="1"/>
        <v>144</v>
      </c>
      <c r="H6" s="8">
        <f t="shared" si="2"/>
        <v>5</v>
      </c>
      <c r="I6" s="4">
        <v>68.8</v>
      </c>
    </row>
    <row r="7" spans="1:9" x14ac:dyDescent="0.35">
      <c r="A7" s="2" t="s">
        <v>152</v>
      </c>
      <c r="B7" s="2" t="s">
        <v>147</v>
      </c>
      <c r="C7" s="5">
        <v>7893</v>
      </c>
      <c r="D7" s="6">
        <v>0.71213161756698817</v>
      </c>
      <c r="E7" s="7">
        <v>0.33912887393083513</v>
      </c>
      <c r="F7" s="8">
        <f t="shared" si="0"/>
        <v>112</v>
      </c>
      <c r="G7" s="8">
        <f t="shared" si="1"/>
        <v>219</v>
      </c>
      <c r="H7" s="8">
        <f t="shared" si="2"/>
        <v>9</v>
      </c>
      <c r="I7" s="4">
        <v>71.600000000000009</v>
      </c>
    </row>
    <row r="8" spans="1:9" x14ac:dyDescent="0.35">
      <c r="A8" s="2" t="s">
        <v>391</v>
      </c>
      <c r="B8" s="2" t="s">
        <v>388</v>
      </c>
      <c r="C8" s="5">
        <v>16759</v>
      </c>
      <c r="D8" s="6">
        <v>0.61502860986272101</v>
      </c>
      <c r="E8" s="7">
        <v>0.25555706513609056</v>
      </c>
      <c r="F8" s="8">
        <f t="shared" si="0"/>
        <v>61</v>
      </c>
      <c r="G8" s="8">
        <f t="shared" si="1"/>
        <v>235</v>
      </c>
      <c r="H8" s="8">
        <f t="shared" si="2"/>
        <v>21</v>
      </c>
      <c r="I8" s="4">
        <v>71.8</v>
      </c>
    </row>
    <row r="9" spans="1:9" x14ac:dyDescent="0.35">
      <c r="A9" s="2" t="s">
        <v>406</v>
      </c>
      <c r="B9" s="2" t="s">
        <v>388</v>
      </c>
      <c r="C9" s="5">
        <v>5022</v>
      </c>
      <c r="D9" s="6">
        <v>1.0786741881282584</v>
      </c>
      <c r="E9" s="7">
        <v>0.32404433777778952</v>
      </c>
      <c r="F9" s="8">
        <f t="shared" si="0"/>
        <v>159</v>
      </c>
      <c r="G9" s="8">
        <f t="shared" si="1"/>
        <v>171</v>
      </c>
      <c r="H9" s="8">
        <f t="shared" si="2"/>
        <v>12</v>
      </c>
      <c r="I9" s="4">
        <v>73.2</v>
      </c>
    </row>
    <row r="10" spans="1:9" x14ac:dyDescent="0.35">
      <c r="A10" s="2" t="s">
        <v>93</v>
      </c>
      <c r="B10" s="2" t="s">
        <v>94</v>
      </c>
      <c r="C10" s="5">
        <v>50644</v>
      </c>
      <c r="D10" s="6">
        <v>1.8716440435955506</v>
      </c>
      <c r="E10" s="7">
        <v>0.14452109738477592</v>
      </c>
      <c r="F10" s="8">
        <f t="shared" si="0"/>
        <v>18</v>
      </c>
      <c r="G10" s="8">
        <f t="shared" si="1"/>
        <v>99</v>
      </c>
      <c r="H10" s="8">
        <f t="shared" si="2"/>
        <v>84</v>
      </c>
      <c r="I10" s="4">
        <v>73.8</v>
      </c>
    </row>
    <row r="11" spans="1:9" x14ac:dyDescent="0.35">
      <c r="A11" s="2" t="s">
        <v>228</v>
      </c>
      <c r="B11" s="2" t="s">
        <v>147</v>
      </c>
      <c r="C11" s="5">
        <v>4402</v>
      </c>
      <c r="D11" s="6">
        <v>1.0335068286463673</v>
      </c>
      <c r="E11" s="7">
        <v>0.34423258752760799</v>
      </c>
      <c r="F11" s="8">
        <f t="shared" si="0"/>
        <v>180</v>
      </c>
      <c r="G11" s="8">
        <f t="shared" si="1"/>
        <v>179</v>
      </c>
      <c r="H11" s="8">
        <f t="shared" si="2"/>
        <v>8</v>
      </c>
      <c r="I11" s="4">
        <v>76.600000000000009</v>
      </c>
    </row>
    <row r="12" spans="1:9" x14ac:dyDescent="0.35">
      <c r="A12" s="2" t="s">
        <v>122</v>
      </c>
      <c r="B12" s="2" t="s">
        <v>117</v>
      </c>
      <c r="C12" s="5">
        <v>11720</v>
      </c>
      <c r="D12" s="6">
        <v>2.3358111399480932</v>
      </c>
      <c r="E12" s="7">
        <v>0.1454054411068455</v>
      </c>
      <c r="F12" s="8">
        <f t="shared" si="0"/>
        <v>81</v>
      </c>
      <c r="G12" s="8">
        <f t="shared" si="1"/>
        <v>67</v>
      </c>
      <c r="H12" s="8">
        <f t="shared" si="2"/>
        <v>82</v>
      </c>
      <c r="I12" s="4">
        <v>78.8</v>
      </c>
    </row>
    <row r="13" spans="1:9" x14ac:dyDescent="0.35">
      <c r="A13" s="2" t="s">
        <v>420</v>
      </c>
      <c r="B13" s="2" t="s">
        <v>409</v>
      </c>
      <c r="C13" s="5">
        <v>3815</v>
      </c>
      <c r="D13" s="6">
        <v>3.8284047953669829</v>
      </c>
      <c r="E13" s="7">
        <v>0.17343343155844937</v>
      </c>
      <c r="F13" s="8">
        <f t="shared" si="0"/>
        <v>202</v>
      </c>
      <c r="G13" s="8">
        <f t="shared" si="1"/>
        <v>35</v>
      </c>
      <c r="H13" s="8">
        <f t="shared" si="2"/>
        <v>54</v>
      </c>
      <c r="I13" s="4">
        <v>79.800000000000011</v>
      </c>
    </row>
    <row r="14" spans="1:9" x14ac:dyDescent="0.35">
      <c r="A14" s="2" t="s">
        <v>315</v>
      </c>
      <c r="B14" s="2" t="s">
        <v>310</v>
      </c>
      <c r="C14" s="5">
        <v>2438</v>
      </c>
      <c r="D14" s="6">
        <v>9.3545415146260975</v>
      </c>
      <c r="E14" s="7">
        <v>0.18252333079082517</v>
      </c>
      <c r="F14" s="8">
        <f t="shared" si="0"/>
        <v>261</v>
      </c>
      <c r="G14" s="8">
        <f t="shared" si="1"/>
        <v>7</v>
      </c>
      <c r="H14" s="8">
        <f t="shared" si="2"/>
        <v>45</v>
      </c>
      <c r="I14" s="4">
        <v>80.599999999999994</v>
      </c>
    </row>
    <row r="15" spans="1:9" x14ac:dyDescent="0.35">
      <c r="A15" s="2" t="s">
        <v>272</v>
      </c>
      <c r="B15" s="2" t="s">
        <v>258</v>
      </c>
      <c r="C15" s="5">
        <v>9599</v>
      </c>
      <c r="D15" s="6">
        <v>0.92643830594687349</v>
      </c>
      <c r="E15" s="7">
        <v>0.19362445932758687</v>
      </c>
      <c r="F15" s="8">
        <f t="shared" si="0"/>
        <v>97</v>
      </c>
      <c r="G15" s="8">
        <f t="shared" si="1"/>
        <v>185</v>
      </c>
      <c r="H15" s="8">
        <f t="shared" si="2"/>
        <v>41</v>
      </c>
      <c r="I15" s="4">
        <v>81</v>
      </c>
    </row>
    <row r="16" spans="1:9" x14ac:dyDescent="0.35">
      <c r="A16" s="2" t="s">
        <v>28</v>
      </c>
      <c r="B16" s="2" t="s">
        <v>24</v>
      </c>
      <c r="C16" s="5">
        <v>50977</v>
      </c>
      <c r="D16" s="6">
        <v>0.7439330787006726</v>
      </c>
      <c r="E16" s="7">
        <v>0.16586580173936194</v>
      </c>
      <c r="F16" s="8">
        <f t="shared" si="0"/>
        <v>17</v>
      </c>
      <c r="G16" s="8">
        <f t="shared" si="1"/>
        <v>212</v>
      </c>
      <c r="H16" s="8">
        <f t="shared" si="2"/>
        <v>59</v>
      </c>
      <c r="I16" s="4">
        <v>81.2</v>
      </c>
    </row>
    <row r="17" spans="1:9" x14ac:dyDescent="0.35">
      <c r="A17" s="2" t="s">
        <v>22</v>
      </c>
      <c r="B17" s="2" t="s">
        <v>9</v>
      </c>
      <c r="C17" s="5">
        <v>20326</v>
      </c>
      <c r="D17" s="6">
        <v>-0.53255396963185386</v>
      </c>
      <c r="E17" s="7">
        <v>0.35073931914549372</v>
      </c>
      <c r="F17" s="8">
        <f t="shared" si="0"/>
        <v>50</v>
      </c>
      <c r="G17" s="8">
        <f t="shared" si="1"/>
        <v>351</v>
      </c>
      <c r="H17" s="8">
        <f t="shared" si="2"/>
        <v>6</v>
      </c>
      <c r="I17" s="4">
        <v>83.8</v>
      </c>
    </row>
    <row r="18" spans="1:9" x14ac:dyDescent="0.35">
      <c r="A18" s="2" t="s">
        <v>132</v>
      </c>
      <c r="B18" s="2" t="s">
        <v>117</v>
      </c>
      <c r="C18" s="5">
        <v>51371</v>
      </c>
      <c r="D18" s="6">
        <v>-0.48871605933341389</v>
      </c>
      <c r="E18" s="7">
        <v>0.2491126695454402</v>
      </c>
      <c r="F18" s="8">
        <f t="shared" si="0"/>
        <v>16</v>
      </c>
      <c r="G18" s="8">
        <f t="shared" si="1"/>
        <v>345</v>
      </c>
      <c r="H18" s="8">
        <f t="shared" si="2"/>
        <v>22</v>
      </c>
      <c r="I18" s="4">
        <v>85.4</v>
      </c>
    </row>
    <row r="19" spans="1:9" x14ac:dyDescent="0.35">
      <c r="A19" s="2" t="s">
        <v>162</v>
      </c>
      <c r="B19" s="2" t="s">
        <v>147</v>
      </c>
      <c r="C19" s="5">
        <v>6215</v>
      </c>
      <c r="D19" s="6">
        <v>1.8015966384694986</v>
      </c>
      <c r="E19" s="7">
        <v>0.16170073143104435</v>
      </c>
      <c r="F19" s="8">
        <f t="shared" si="0"/>
        <v>133</v>
      </c>
      <c r="G19" s="8">
        <f t="shared" si="1"/>
        <v>105</v>
      </c>
      <c r="H19" s="8">
        <f t="shared" si="2"/>
        <v>64</v>
      </c>
      <c r="I19" s="4">
        <v>86</v>
      </c>
    </row>
    <row r="20" spans="1:9" x14ac:dyDescent="0.35">
      <c r="A20" s="2" t="s">
        <v>203</v>
      </c>
      <c r="B20" s="2" t="s">
        <v>147</v>
      </c>
      <c r="C20" s="5">
        <v>7932</v>
      </c>
      <c r="D20" s="6">
        <v>0.37144118786503405</v>
      </c>
      <c r="E20" s="7">
        <v>0.26180363907052673</v>
      </c>
      <c r="F20" s="8">
        <f t="shared" si="0"/>
        <v>110</v>
      </c>
      <c r="G20" s="8">
        <f t="shared" si="1"/>
        <v>263</v>
      </c>
      <c r="H20" s="8">
        <f t="shared" si="2"/>
        <v>19</v>
      </c>
      <c r="I20" s="4">
        <v>86</v>
      </c>
    </row>
    <row r="21" spans="1:9" x14ac:dyDescent="0.35">
      <c r="A21" s="2" t="s">
        <v>182</v>
      </c>
      <c r="B21" s="2" t="s">
        <v>147</v>
      </c>
      <c r="C21" s="5">
        <v>5669</v>
      </c>
      <c r="D21" s="6">
        <v>0.9534866030362833</v>
      </c>
      <c r="E21" s="7">
        <v>0.21198263549101193</v>
      </c>
      <c r="F21" s="8">
        <f t="shared" si="0"/>
        <v>146</v>
      </c>
      <c r="G21" s="8">
        <f t="shared" si="1"/>
        <v>183</v>
      </c>
      <c r="H21" s="8">
        <f t="shared" si="2"/>
        <v>34</v>
      </c>
      <c r="I21" s="4">
        <v>86.200000000000017</v>
      </c>
    </row>
    <row r="22" spans="1:9" x14ac:dyDescent="0.35">
      <c r="A22" s="2" t="s">
        <v>296</v>
      </c>
      <c r="B22" s="2" t="s">
        <v>283</v>
      </c>
      <c r="C22" s="5">
        <v>28358</v>
      </c>
      <c r="D22" s="6">
        <v>2.3960921610611763</v>
      </c>
      <c r="E22" s="7">
        <v>0.11943849762608028</v>
      </c>
      <c r="F22" s="8">
        <f t="shared" si="0"/>
        <v>39</v>
      </c>
      <c r="G22" s="8">
        <f t="shared" si="1"/>
        <v>62</v>
      </c>
      <c r="H22" s="8">
        <f t="shared" si="2"/>
        <v>111</v>
      </c>
      <c r="I22" s="4">
        <v>86.8</v>
      </c>
    </row>
    <row r="23" spans="1:9" x14ac:dyDescent="0.35">
      <c r="A23" s="2" t="s">
        <v>159</v>
      </c>
      <c r="B23" s="2" t="s">
        <v>147</v>
      </c>
      <c r="C23" s="5">
        <v>4108</v>
      </c>
      <c r="D23" s="6">
        <v>1.1042502736687547</v>
      </c>
      <c r="E23" s="7">
        <v>0.22677490761046237</v>
      </c>
      <c r="F23" s="8">
        <f t="shared" si="0"/>
        <v>190</v>
      </c>
      <c r="G23" s="8">
        <f t="shared" si="1"/>
        <v>169</v>
      </c>
      <c r="H23" s="8">
        <f t="shared" si="2"/>
        <v>26</v>
      </c>
      <c r="I23" s="4">
        <v>87.4</v>
      </c>
    </row>
    <row r="24" spans="1:9" x14ac:dyDescent="0.35">
      <c r="A24" s="2" t="s">
        <v>290</v>
      </c>
      <c r="B24" s="2" t="s">
        <v>283</v>
      </c>
      <c r="C24" s="5">
        <v>80440</v>
      </c>
      <c r="D24" s="6">
        <v>1.2204315302918034</v>
      </c>
      <c r="E24" s="7">
        <v>0.13796125706298379</v>
      </c>
      <c r="F24" s="8">
        <f t="shared" si="0"/>
        <v>9</v>
      </c>
      <c r="G24" s="8">
        <f t="shared" si="1"/>
        <v>155</v>
      </c>
      <c r="H24" s="8">
        <f t="shared" si="2"/>
        <v>91</v>
      </c>
      <c r="I24" s="4">
        <v>87.4</v>
      </c>
    </row>
    <row r="25" spans="1:9" x14ac:dyDescent="0.35">
      <c r="A25" s="2" t="s">
        <v>35</v>
      </c>
      <c r="B25" s="2" t="s">
        <v>24</v>
      </c>
      <c r="C25" s="5">
        <v>47447</v>
      </c>
      <c r="D25" s="6">
        <v>0.62982135129943984</v>
      </c>
      <c r="E25" s="7">
        <v>0.16030290359305499</v>
      </c>
      <c r="F25" s="8">
        <f t="shared" si="0"/>
        <v>21</v>
      </c>
      <c r="G25" s="8">
        <f t="shared" si="1"/>
        <v>232</v>
      </c>
      <c r="H25" s="8">
        <f t="shared" si="2"/>
        <v>65</v>
      </c>
      <c r="I25" s="4">
        <v>89.600000000000009</v>
      </c>
    </row>
    <row r="26" spans="1:9" x14ac:dyDescent="0.35">
      <c r="A26" s="2" t="s">
        <v>139</v>
      </c>
      <c r="B26" s="2" t="s">
        <v>117</v>
      </c>
      <c r="C26" s="5">
        <v>13565</v>
      </c>
      <c r="D26" s="6">
        <v>-0.45650171127552031</v>
      </c>
      <c r="E26" s="7">
        <v>0.31656995507320285</v>
      </c>
      <c r="F26" s="8">
        <f t="shared" si="0"/>
        <v>69</v>
      </c>
      <c r="G26" s="8">
        <f t="shared" si="1"/>
        <v>342</v>
      </c>
      <c r="H26" s="8">
        <f t="shared" si="2"/>
        <v>13</v>
      </c>
      <c r="I26" s="4">
        <v>90</v>
      </c>
    </row>
    <row r="27" spans="1:9" x14ac:dyDescent="0.35">
      <c r="A27" s="2" t="s">
        <v>118</v>
      </c>
      <c r="B27" s="2" t="s">
        <v>117</v>
      </c>
      <c r="C27" s="5">
        <v>46843</v>
      </c>
      <c r="D27" s="6">
        <v>0.10433572617561382</v>
      </c>
      <c r="E27" s="7">
        <v>0.18655827311867057</v>
      </c>
      <c r="F27" s="8">
        <f t="shared" si="0"/>
        <v>22</v>
      </c>
      <c r="G27" s="8">
        <f t="shared" si="1"/>
        <v>299</v>
      </c>
      <c r="H27" s="8">
        <f t="shared" si="2"/>
        <v>44</v>
      </c>
      <c r="I27" s="4">
        <v>90.6</v>
      </c>
    </row>
    <row r="28" spans="1:9" x14ac:dyDescent="0.35">
      <c r="A28" s="2" t="s">
        <v>302</v>
      </c>
      <c r="B28" s="2" t="s">
        <v>283</v>
      </c>
      <c r="C28" s="5">
        <v>29895</v>
      </c>
      <c r="D28" s="6">
        <v>0.27507963116293166</v>
      </c>
      <c r="E28" s="7">
        <v>0.17994100041509498</v>
      </c>
      <c r="F28" s="8">
        <f t="shared" si="0"/>
        <v>36</v>
      </c>
      <c r="G28" s="8">
        <f t="shared" si="1"/>
        <v>277</v>
      </c>
      <c r="H28" s="8">
        <f t="shared" si="2"/>
        <v>47</v>
      </c>
      <c r="I28" s="4">
        <v>90.800000000000011</v>
      </c>
    </row>
    <row r="29" spans="1:9" x14ac:dyDescent="0.35">
      <c r="A29" s="2" t="s">
        <v>226</v>
      </c>
      <c r="B29" s="2" t="s">
        <v>147</v>
      </c>
      <c r="C29" s="5">
        <v>3069</v>
      </c>
      <c r="D29" s="6">
        <v>2.3680508284923025</v>
      </c>
      <c r="E29" s="7">
        <v>0.17307038918974649</v>
      </c>
      <c r="F29" s="8">
        <f t="shared" si="0"/>
        <v>228</v>
      </c>
      <c r="G29" s="8">
        <f t="shared" si="1"/>
        <v>65</v>
      </c>
      <c r="H29" s="8">
        <f t="shared" si="2"/>
        <v>55</v>
      </c>
      <c r="I29" s="4">
        <v>91.6</v>
      </c>
    </row>
    <row r="30" spans="1:9" x14ac:dyDescent="0.35">
      <c r="A30" s="2" t="s">
        <v>48</v>
      </c>
      <c r="B30" s="2" t="s">
        <v>43</v>
      </c>
      <c r="C30" s="5">
        <v>4309</v>
      </c>
      <c r="D30" s="6">
        <v>0.46443183068321414</v>
      </c>
      <c r="E30" s="7">
        <v>0.33658264872469745</v>
      </c>
      <c r="F30" s="8">
        <f t="shared" si="0"/>
        <v>183</v>
      </c>
      <c r="G30" s="8">
        <f t="shared" si="1"/>
        <v>254</v>
      </c>
      <c r="H30" s="8">
        <f t="shared" si="2"/>
        <v>11</v>
      </c>
      <c r="I30" s="4">
        <v>94</v>
      </c>
    </row>
    <row r="31" spans="1:9" x14ac:dyDescent="0.35">
      <c r="A31" s="2" t="s">
        <v>55</v>
      </c>
      <c r="B31" s="2" t="s">
        <v>43</v>
      </c>
      <c r="C31" s="5">
        <v>22096</v>
      </c>
      <c r="D31" s="6">
        <v>1.8414705165576328</v>
      </c>
      <c r="E31" s="7">
        <v>0.12256236367334483</v>
      </c>
      <c r="F31" s="8">
        <f t="shared" si="0"/>
        <v>45</v>
      </c>
      <c r="G31" s="8">
        <f t="shared" si="1"/>
        <v>103</v>
      </c>
      <c r="H31" s="8">
        <f t="shared" si="2"/>
        <v>108</v>
      </c>
      <c r="I31" s="4">
        <v>94.4</v>
      </c>
    </row>
    <row r="32" spans="1:9" x14ac:dyDescent="0.35">
      <c r="A32" s="2" t="s">
        <v>52</v>
      </c>
      <c r="B32" s="2" t="s">
        <v>43</v>
      </c>
      <c r="C32" s="5">
        <v>6707</v>
      </c>
      <c r="D32" s="6">
        <v>0.25026128410178955</v>
      </c>
      <c r="E32" s="7">
        <v>0.23255857786913081</v>
      </c>
      <c r="F32" s="8">
        <f t="shared" si="0"/>
        <v>123</v>
      </c>
      <c r="G32" s="8">
        <f t="shared" si="1"/>
        <v>280</v>
      </c>
      <c r="H32" s="8">
        <f t="shared" si="2"/>
        <v>24</v>
      </c>
      <c r="I32" s="4">
        <v>95</v>
      </c>
    </row>
    <row r="33" spans="1:9" x14ac:dyDescent="0.35">
      <c r="A33" s="2" t="s">
        <v>346</v>
      </c>
      <c r="B33" s="2" t="s">
        <v>328</v>
      </c>
      <c r="C33" s="5">
        <v>5784</v>
      </c>
      <c r="D33" s="6">
        <v>1.5273916148059534</v>
      </c>
      <c r="E33" s="7">
        <v>0.15955843111260837</v>
      </c>
      <c r="F33" s="8">
        <f t="shared" si="0"/>
        <v>145</v>
      </c>
      <c r="G33" s="8">
        <f t="shared" si="1"/>
        <v>130</v>
      </c>
      <c r="H33" s="8">
        <f t="shared" si="2"/>
        <v>67</v>
      </c>
      <c r="I33" s="4">
        <v>95.199999999999989</v>
      </c>
    </row>
    <row r="34" spans="1:9" x14ac:dyDescent="0.35">
      <c r="A34" s="2" t="s">
        <v>11</v>
      </c>
      <c r="B34" s="2" t="s">
        <v>9</v>
      </c>
      <c r="C34" s="5">
        <v>34855</v>
      </c>
      <c r="D34" s="6">
        <v>-0.83746219989376014</v>
      </c>
      <c r="E34" s="7">
        <v>0.22141349594079029</v>
      </c>
      <c r="F34" s="8">
        <f t="shared" si="0"/>
        <v>29</v>
      </c>
      <c r="G34" s="8">
        <f t="shared" si="1"/>
        <v>367</v>
      </c>
      <c r="H34" s="8">
        <f t="shared" si="2"/>
        <v>28</v>
      </c>
      <c r="I34" s="4">
        <v>96</v>
      </c>
    </row>
    <row r="35" spans="1:9" x14ac:dyDescent="0.35">
      <c r="A35" s="2" t="s">
        <v>256</v>
      </c>
      <c r="B35" s="2" t="s">
        <v>235</v>
      </c>
      <c r="C35" s="5">
        <v>13140</v>
      </c>
      <c r="D35" s="6">
        <v>1.203096766988665</v>
      </c>
      <c r="E35" s="7">
        <v>0.14182681498140237</v>
      </c>
      <c r="F35" s="8">
        <f t="shared" si="0"/>
        <v>71</v>
      </c>
      <c r="G35" s="8">
        <f t="shared" si="1"/>
        <v>157</v>
      </c>
      <c r="H35" s="8">
        <f t="shared" si="2"/>
        <v>86</v>
      </c>
      <c r="I35" s="4">
        <v>97.2</v>
      </c>
    </row>
    <row r="36" spans="1:9" x14ac:dyDescent="0.35">
      <c r="A36" s="2" t="s">
        <v>169</v>
      </c>
      <c r="B36" s="2" t="s">
        <v>147</v>
      </c>
      <c r="C36" s="5">
        <v>11082</v>
      </c>
      <c r="D36" s="6">
        <v>-1.4736249343511303</v>
      </c>
      <c r="E36" s="7">
        <v>0.34928733983966431</v>
      </c>
      <c r="F36" s="8">
        <f t="shared" si="0"/>
        <v>85</v>
      </c>
      <c r="G36" s="8">
        <f t="shared" si="1"/>
        <v>384</v>
      </c>
      <c r="H36" s="8">
        <f t="shared" si="2"/>
        <v>7</v>
      </c>
      <c r="I36" s="4">
        <v>98.000000000000014</v>
      </c>
    </row>
    <row r="37" spans="1:9" x14ac:dyDescent="0.35">
      <c r="A37" s="2" t="s">
        <v>212</v>
      </c>
      <c r="B37" s="2" t="s">
        <v>147</v>
      </c>
      <c r="C37" s="5">
        <v>68277</v>
      </c>
      <c r="D37" s="6">
        <v>0.57901772127899342</v>
      </c>
      <c r="E37" s="7">
        <v>0.14478679943888761</v>
      </c>
      <c r="F37" s="8">
        <f t="shared" si="0"/>
        <v>11</v>
      </c>
      <c r="G37" s="8">
        <f t="shared" si="1"/>
        <v>239</v>
      </c>
      <c r="H37" s="8">
        <f t="shared" si="2"/>
        <v>83</v>
      </c>
      <c r="I37" s="4">
        <v>99.800000000000011</v>
      </c>
    </row>
    <row r="38" spans="1:9" x14ac:dyDescent="0.35">
      <c r="A38" s="2" t="s">
        <v>325</v>
      </c>
      <c r="B38" s="2" t="s">
        <v>310</v>
      </c>
      <c r="C38" s="5">
        <v>14899</v>
      </c>
      <c r="D38" s="6">
        <v>8.5539631630916553</v>
      </c>
      <c r="E38" s="7">
        <v>9.8453079931269505E-2</v>
      </c>
      <c r="F38" s="8">
        <f t="shared" si="0"/>
        <v>65</v>
      </c>
      <c r="G38" s="8">
        <f t="shared" si="1"/>
        <v>13</v>
      </c>
      <c r="H38" s="8">
        <f t="shared" si="2"/>
        <v>141</v>
      </c>
      <c r="I38" s="4">
        <v>100.19999999999999</v>
      </c>
    </row>
    <row r="39" spans="1:9" x14ac:dyDescent="0.35">
      <c r="A39" s="2" t="s">
        <v>174</v>
      </c>
      <c r="B39" s="2" t="s">
        <v>147</v>
      </c>
      <c r="C39" s="5">
        <v>4558</v>
      </c>
      <c r="D39" s="6">
        <v>2.2080064193387314</v>
      </c>
      <c r="E39" s="7">
        <v>0.1439784594474065</v>
      </c>
      <c r="F39" s="8">
        <f t="shared" si="0"/>
        <v>174</v>
      </c>
      <c r="G39" s="8">
        <f t="shared" si="1"/>
        <v>75</v>
      </c>
      <c r="H39" s="8">
        <f t="shared" si="2"/>
        <v>85</v>
      </c>
      <c r="I39" s="4">
        <v>100.80000000000001</v>
      </c>
    </row>
    <row r="40" spans="1:9" x14ac:dyDescent="0.35">
      <c r="A40" s="2" t="s">
        <v>279</v>
      </c>
      <c r="B40" s="2" t="s">
        <v>258</v>
      </c>
      <c r="C40" s="5">
        <v>15888</v>
      </c>
      <c r="D40" s="6">
        <v>0.74177922283002595</v>
      </c>
      <c r="E40" s="7">
        <v>0.14851617750059898</v>
      </c>
      <c r="F40" s="8">
        <f t="shared" si="0"/>
        <v>63</v>
      </c>
      <c r="G40" s="8">
        <f t="shared" si="1"/>
        <v>213</v>
      </c>
      <c r="H40" s="8">
        <f t="shared" si="2"/>
        <v>78</v>
      </c>
      <c r="I40" s="4">
        <v>102</v>
      </c>
    </row>
    <row r="41" spans="1:9" x14ac:dyDescent="0.35">
      <c r="A41" s="2" t="s">
        <v>124</v>
      </c>
      <c r="B41" s="2" t="s">
        <v>117</v>
      </c>
      <c r="C41" s="5">
        <v>4533</v>
      </c>
      <c r="D41" s="6">
        <v>2.2200639463714271</v>
      </c>
      <c r="E41" s="7">
        <v>0.1394749036267251</v>
      </c>
      <c r="F41" s="8">
        <f t="shared" si="0"/>
        <v>175</v>
      </c>
      <c r="G41" s="8">
        <f t="shared" si="1"/>
        <v>73</v>
      </c>
      <c r="H41" s="8">
        <f t="shared" si="2"/>
        <v>88</v>
      </c>
      <c r="I41" s="4">
        <v>102.4</v>
      </c>
    </row>
    <row r="42" spans="1:9" x14ac:dyDescent="0.35">
      <c r="A42" s="2" t="s">
        <v>209</v>
      </c>
      <c r="B42" s="2" t="s">
        <v>147</v>
      </c>
      <c r="C42" s="5">
        <v>3530</v>
      </c>
      <c r="D42" s="6">
        <v>1.0540403979127677</v>
      </c>
      <c r="E42" s="7">
        <v>0.19062715130051022</v>
      </c>
      <c r="F42" s="8">
        <f t="shared" si="0"/>
        <v>211</v>
      </c>
      <c r="G42" s="8">
        <f t="shared" si="1"/>
        <v>176</v>
      </c>
      <c r="H42" s="8">
        <f t="shared" si="2"/>
        <v>42</v>
      </c>
      <c r="I42" s="4">
        <v>102.60000000000001</v>
      </c>
    </row>
    <row r="43" spans="1:9" x14ac:dyDescent="0.35">
      <c r="A43" s="2" t="s">
        <v>120</v>
      </c>
      <c r="B43" s="2" t="s">
        <v>117</v>
      </c>
      <c r="C43" s="5">
        <v>3626</v>
      </c>
      <c r="D43" s="6">
        <v>0.42405626985670142</v>
      </c>
      <c r="E43" s="7">
        <v>0.28343019681055992</v>
      </c>
      <c r="F43" s="8">
        <f t="shared" si="0"/>
        <v>207</v>
      </c>
      <c r="G43" s="8">
        <f t="shared" si="1"/>
        <v>258</v>
      </c>
      <c r="H43" s="8">
        <f t="shared" si="2"/>
        <v>17</v>
      </c>
      <c r="I43" s="4">
        <v>103.2</v>
      </c>
    </row>
    <row r="44" spans="1:9" x14ac:dyDescent="0.35">
      <c r="A44" s="2" t="s">
        <v>45</v>
      </c>
      <c r="B44" s="2" t="s">
        <v>43</v>
      </c>
      <c r="C44" s="5">
        <v>59008</v>
      </c>
      <c r="D44" s="6">
        <v>0.67105539856290319</v>
      </c>
      <c r="E44" s="7">
        <v>0.1367890705651793</v>
      </c>
      <c r="F44" s="8">
        <f t="shared" si="0"/>
        <v>12</v>
      </c>
      <c r="G44" s="8">
        <f t="shared" si="1"/>
        <v>226</v>
      </c>
      <c r="H44" s="8">
        <f t="shared" si="2"/>
        <v>93</v>
      </c>
      <c r="I44" s="4">
        <v>103.4</v>
      </c>
    </row>
    <row r="45" spans="1:9" x14ac:dyDescent="0.35">
      <c r="A45" s="2" t="s">
        <v>101</v>
      </c>
      <c r="B45" s="2" t="s">
        <v>94</v>
      </c>
      <c r="C45" s="5">
        <v>53302</v>
      </c>
      <c r="D45" s="6">
        <v>1.6239937811509355</v>
      </c>
      <c r="E45" s="7">
        <v>0.10487600522798934</v>
      </c>
      <c r="F45" s="8">
        <f t="shared" si="0"/>
        <v>14</v>
      </c>
      <c r="G45" s="8">
        <f t="shared" si="1"/>
        <v>120</v>
      </c>
      <c r="H45" s="8">
        <f t="shared" si="2"/>
        <v>129</v>
      </c>
      <c r="I45" s="4">
        <v>104.19999999999999</v>
      </c>
    </row>
    <row r="46" spans="1:9" x14ac:dyDescent="0.35">
      <c r="A46" s="2" t="s">
        <v>257</v>
      </c>
      <c r="B46" s="2" t="s">
        <v>258</v>
      </c>
      <c r="C46" s="5">
        <v>4631</v>
      </c>
      <c r="D46" s="6">
        <v>-0.44342949140911608</v>
      </c>
      <c r="E46" s="7">
        <v>0.43314465756394949</v>
      </c>
      <c r="F46" s="8">
        <f t="shared" si="0"/>
        <v>171</v>
      </c>
      <c r="G46" s="8">
        <f t="shared" si="1"/>
        <v>341</v>
      </c>
      <c r="H46" s="8">
        <f t="shared" si="2"/>
        <v>3</v>
      </c>
      <c r="I46" s="4">
        <v>104.2</v>
      </c>
    </row>
    <row r="47" spans="1:9" x14ac:dyDescent="0.35">
      <c r="A47" s="2" t="s">
        <v>259</v>
      </c>
      <c r="B47" s="2" t="s">
        <v>258</v>
      </c>
      <c r="C47" s="5">
        <v>53290</v>
      </c>
      <c r="D47" s="6">
        <v>1.1781388273134263</v>
      </c>
      <c r="E47" s="7">
        <v>0.11482232125550418</v>
      </c>
      <c r="F47" s="8">
        <f t="shared" si="0"/>
        <v>15</v>
      </c>
      <c r="G47" s="8">
        <f t="shared" si="1"/>
        <v>160</v>
      </c>
      <c r="H47" s="8">
        <f t="shared" si="2"/>
        <v>116</v>
      </c>
      <c r="I47" s="4">
        <v>104.6</v>
      </c>
    </row>
    <row r="48" spans="1:9" x14ac:dyDescent="0.35">
      <c r="A48" s="2" t="s">
        <v>34</v>
      </c>
      <c r="B48" s="2" t="s">
        <v>24</v>
      </c>
      <c r="C48" s="5">
        <v>887</v>
      </c>
      <c r="D48" s="6">
        <v>1.7920319695359546</v>
      </c>
      <c r="E48" s="7">
        <v>0.33794453692374304</v>
      </c>
      <c r="F48" s="8">
        <f t="shared" si="0"/>
        <v>396</v>
      </c>
      <c r="G48" s="8">
        <f t="shared" si="1"/>
        <v>106</v>
      </c>
      <c r="H48" s="8">
        <f t="shared" si="2"/>
        <v>10</v>
      </c>
      <c r="I48" s="4">
        <v>106.4</v>
      </c>
    </row>
    <row r="49" spans="1:9" x14ac:dyDescent="0.35">
      <c r="A49" s="2" t="s">
        <v>352</v>
      </c>
      <c r="B49" s="2" t="s">
        <v>349</v>
      </c>
      <c r="C49" s="5">
        <v>18436</v>
      </c>
      <c r="D49" s="6">
        <v>-1.6737181824945631</v>
      </c>
      <c r="E49" s="7">
        <v>0.21108726677199119</v>
      </c>
      <c r="F49" s="8">
        <f t="shared" si="0"/>
        <v>57</v>
      </c>
      <c r="G49" s="8">
        <f t="shared" si="1"/>
        <v>387</v>
      </c>
      <c r="H49" s="8">
        <f t="shared" si="2"/>
        <v>35</v>
      </c>
      <c r="I49" s="4">
        <v>109.80000000000001</v>
      </c>
    </row>
    <row r="50" spans="1:9" x14ac:dyDescent="0.35">
      <c r="A50" s="2" t="s">
        <v>158</v>
      </c>
      <c r="B50" s="2" t="s">
        <v>147</v>
      </c>
      <c r="C50" s="5">
        <v>11805</v>
      </c>
      <c r="D50" s="6">
        <v>0.2056674767077489</v>
      </c>
      <c r="E50" s="7">
        <v>0.16524222795590293</v>
      </c>
      <c r="F50" s="8">
        <f t="shared" si="0"/>
        <v>80</v>
      </c>
      <c r="G50" s="8">
        <f t="shared" si="1"/>
        <v>285</v>
      </c>
      <c r="H50" s="8">
        <f t="shared" si="2"/>
        <v>62</v>
      </c>
      <c r="I50" s="4">
        <v>110.19999999999999</v>
      </c>
    </row>
    <row r="51" spans="1:9" x14ac:dyDescent="0.35">
      <c r="A51" s="2" t="s">
        <v>216</v>
      </c>
      <c r="B51" s="2" t="s">
        <v>147</v>
      </c>
      <c r="C51" s="5">
        <v>2641</v>
      </c>
      <c r="D51" s="6">
        <v>0.71371831855017653</v>
      </c>
      <c r="E51" s="7">
        <v>0.22107525646449488</v>
      </c>
      <c r="F51" s="8">
        <f t="shared" si="0"/>
        <v>246</v>
      </c>
      <c r="G51" s="8">
        <f t="shared" si="1"/>
        <v>218</v>
      </c>
      <c r="H51" s="8">
        <f t="shared" si="2"/>
        <v>29</v>
      </c>
      <c r="I51" s="4">
        <v>110.20000000000002</v>
      </c>
    </row>
    <row r="52" spans="1:9" x14ac:dyDescent="0.35">
      <c r="A52" s="2" t="s">
        <v>245</v>
      </c>
      <c r="B52" s="2" t="s">
        <v>235</v>
      </c>
      <c r="C52" s="5">
        <v>12160</v>
      </c>
      <c r="D52" s="6">
        <v>0.15337121212121213</v>
      </c>
      <c r="E52" s="7">
        <v>0.16537058538118532</v>
      </c>
      <c r="F52" s="8">
        <f t="shared" si="0"/>
        <v>77</v>
      </c>
      <c r="G52" s="8">
        <f t="shared" si="1"/>
        <v>294</v>
      </c>
      <c r="H52" s="8">
        <f t="shared" si="2"/>
        <v>61</v>
      </c>
      <c r="I52" s="4">
        <v>110.80000000000001</v>
      </c>
    </row>
    <row r="53" spans="1:9" x14ac:dyDescent="0.35">
      <c r="A53" s="2" t="s">
        <v>46</v>
      </c>
      <c r="B53" s="2" t="s">
        <v>43</v>
      </c>
      <c r="C53" s="5">
        <v>53934</v>
      </c>
      <c r="D53" s="6">
        <v>0.63103827485780728</v>
      </c>
      <c r="E53" s="7">
        <v>0.12496047968829416</v>
      </c>
      <c r="F53" s="8">
        <f t="shared" si="0"/>
        <v>13</v>
      </c>
      <c r="G53" s="8">
        <f t="shared" si="1"/>
        <v>231</v>
      </c>
      <c r="H53" s="8">
        <f t="shared" si="2"/>
        <v>106</v>
      </c>
      <c r="I53" s="4">
        <v>112.4</v>
      </c>
    </row>
    <row r="54" spans="1:9" x14ac:dyDescent="0.35">
      <c r="A54" s="2" t="s">
        <v>334</v>
      </c>
      <c r="B54" s="2" t="s">
        <v>328</v>
      </c>
      <c r="C54" s="5">
        <v>2259</v>
      </c>
      <c r="D54" s="6">
        <v>1.3307016215295198</v>
      </c>
      <c r="E54" s="7">
        <v>0.17759957490233047</v>
      </c>
      <c r="F54" s="8">
        <f t="shared" si="0"/>
        <v>270</v>
      </c>
      <c r="G54" s="8">
        <f t="shared" si="1"/>
        <v>148</v>
      </c>
      <c r="H54" s="8">
        <f t="shared" si="2"/>
        <v>51</v>
      </c>
      <c r="I54" s="4">
        <v>114.19999999999999</v>
      </c>
    </row>
    <row r="55" spans="1:9" x14ac:dyDescent="0.35">
      <c r="A55" s="2" t="s">
        <v>359</v>
      </c>
      <c r="B55" s="2" t="s">
        <v>349</v>
      </c>
      <c r="C55" s="5">
        <v>6095</v>
      </c>
      <c r="D55" s="6">
        <v>-2.0346124910384797</v>
      </c>
      <c r="E55" s="7">
        <v>0.31579417031963097</v>
      </c>
      <c r="F55" s="8">
        <f t="shared" si="0"/>
        <v>140</v>
      </c>
      <c r="G55" s="8">
        <f t="shared" si="1"/>
        <v>392</v>
      </c>
      <c r="H55" s="8">
        <f t="shared" si="2"/>
        <v>14</v>
      </c>
      <c r="I55" s="4">
        <v>114.80000000000001</v>
      </c>
    </row>
    <row r="56" spans="1:9" x14ac:dyDescent="0.35">
      <c r="A56" s="2" t="s">
        <v>338</v>
      </c>
      <c r="B56" s="2" t="s">
        <v>328</v>
      </c>
      <c r="C56" s="5">
        <v>2926</v>
      </c>
      <c r="D56" s="6">
        <v>0.19353042691439068</v>
      </c>
      <c r="E56" s="7">
        <v>0.28117713673977551</v>
      </c>
      <c r="F56" s="8">
        <f t="shared" si="0"/>
        <v>234</v>
      </c>
      <c r="G56" s="8">
        <f t="shared" si="1"/>
        <v>288</v>
      </c>
      <c r="H56" s="8">
        <f t="shared" si="2"/>
        <v>18</v>
      </c>
      <c r="I56" s="4">
        <v>115.2</v>
      </c>
    </row>
    <row r="57" spans="1:9" x14ac:dyDescent="0.35">
      <c r="A57" s="2" t="s">
        <v>63</v>
      </c>
      <c r="B57" s="2" t="s">
        <v>61</v>
      </c>
      <c r="C57" s="5">
        <v>7986</v>
      </c>
      <c r="D57" s="6">
        <v>1.1408994111567587</v>
      </c>
      <c r="E57" s="7">
        <v>0.12888277181162988</v>
      </c>
      <c r="F57" s="8">
        <f t="shared" si="0"/>
        <v>108</v>
      </c>
      <c r="G57" s="8">
        <f t="shared" si="1"/>
        <v>166</v>
      </c>
      <c r="H57" s="8">
        <f t="shared" si="2"/>
        <v>101</v>
      </c>
      <c r="I57" s="4">
        <v>115.4</v>
      </c>
    </row>
    <row r="58" spans="1:9" x14ac:dyDescent="0.35">
      <c r="A58" s="2" t="s">
        <v>183</v>
      </c>
      <c r="B58" s="2" t="s">
        <v>147</v>
      </c>
      <c r="C58" s="5">
        <v>9793</v>
      </c>
      <c r="D58" s="6">
        <v>-1.2056988880656136</v>
      </c>
      <c r="E58" s="7">
        <v>0.20702319484074061</v>
      </c>
      <c r="F58" s="8">
        <f t="shared" si="0"/>
        <v>92</v>
      </c>
      <c r="G58" s="8">
        <f t="shared" si="1"/>
        <v>379</v>
      </c>
      <c r="H58" s="8">
        <f t="shared" si="2"/>
        <v>37</v>
      </c>
      <c r="I58" s="4">
        <v>116.4</v>
      </c>
    </row>
    <row r="59" spans="1:9" x14ac:dyDescent="0.35">
      <c r="A59" s="2" t="s">
        <v>276</v>
      </c>
      <c r="B59" s="2" t="s">
        <v>258</v>
      </c>
      <c r="C59" s="5">
        <v>9060</v>
      </c>
      <c r="D59" s="6">
        <v>-0.78910537363282929</v>
      </c>
      <c r="E59" s="7">
        <v>0.1947397302799172</v>
      </c>
      <c r="F59" s="8">
        <f t="shared" si="0"/>
        <v>102</v>
      </c>
      <c r="G59" s="8">
        <f t="shared" si="1"/>
        <v>363</v>
      </c>
      <c r="H59" s="8">
        <f t="shared" si="2"/>
        <v>40</v>
      </c>
      <c r="I59" s="4">
        <v>117.00000000000001</v>
      </c>
    </row>
    <row r="60" spans="1:9" x14ac:dyDescent="0.35">
      <c r="A60" s="2" t="s">
        <v>21</v>
      </c>
      <c r="B60" s="2" t="s">
        <v>9</v>
      </c>
      <c r="C60" s="5">
        <v>2811</v>
      </c>
      <c r="D60" s="6">
        <v>0.28658848511172241</v>
      </c>
      <c r="E60" s="7">
        <v>0.22887339024326869</v>
      </c>
      <c r="F60" s="8">
        <f t="shared" si="0"/>
        <v>236</v>
      </c>
      <c r="G60" s="8">
        <f t="shared" si="1"/>
        <v>276</v>
      </c>
      <c r="H60" s="8">
        <f t="shared" si="2"/>
        <v>25</v>
      </c>
      <c r="I60" s="4">
        <v>117.4</v>
      </c>
    </row>
    <row r="61" spans="1:9" x14ac:dyDescent="0.35">
      <c r="A61" s="2" t="s">
        <v>179</v>
      </c>
      <c r="B61" s="2" t="s">
        <v>147</v>
      </c>
      <c r="C61" s="5">
        <v>4039</v>
      </c>
      <c r="D61" s="6">
        <v>2.1037788418127175</v>
      </c>
      <c r="E61" s="7">
        <v>0.12717669248592878</v>
      </c>
      <c r="F61" s="8">
        <f t="shared" si="0"/>
        <v>192</v>
      </c>
      <c r="G61" s="8">
        <f t="shared" si="1"/>
        <v>80</v>
      </c>
      <c r="H61" s="8">
        <f t="shared" si="2"/>
        <v>105</v>
      </c>
      <c r="I61" s="4">
        <v>117.4</v>
      </c>
    </row>
    <row r="62" spans="1:9" x14ac:dyDescent="0.35">
      <c r="A62" s="2" t="s">
        <v>15</v>
      </c>
      <c r="B62" s="2" t="s">
        <v>9</v>
      </c>
      <c r="C62" s="5">
        <v>4374</v>
      </c>
      <c r="D62" s="6">
        <v>-0.12716340809211368</v>
      </c>
      <c r="E62" s="7">
        <v>0.21900905957188521</v>
      </c>
      <c r="F62" s="8">
        <f t="shared" si="0"/>
        <v>181</v>
      </c>
      <c r="G62" s="8">
        <f t="shared" si="1"/>
        <v>318</v>
      </c>
      <c r="H62" s="8">
        <f t="shared" si="2"/>
        <v>31</v>
      </c>
      <c r="I62" s="4">
        <v>118.4</v>
      </c>
    </row>
    <row r="63" spans="1:9" x14ac:dyDescent="0.35">
      <c r="A63" s="2" t="s">
        <v>119</v>
      </c>
      <c r="B63" s="2" t="s">
        <v>117</v>
      </c>
      <c r="C63" s="5">
        <v>3540</v>
      </c>
      <c r="D63" s="6">
        <v>-0.36150844839002377</v>
      </c>
      <c r="E63" s="7">
        <v>0.28565898686727831</v>
      </c>
      <c r="F63" s="8">
        <f t="shared" si="0"/>
        <v>210</v>
      </c>
      <c r="G63" s="8">
        <f t="shared" si="1"/>
        <v>336</v>
      </c>
      <c r="H63" s="8">
        <f t="shared" si="2"/>
        <v>16</v>
      </c>
      <c r="I63" s="4">
        <v>118.8</v>
      </c>
    </row>
    <row r="64" spans="1:9" x14ac:dyDescent="0.35">
      <c r="A64" s="2" t="s">
        <v>351</v>
      </c>
      <c r="B64" s="2" t="s">
        <v>349</v>
      </c>
      <c r="C64" s="5">
        <v>9424</v>
      </c>
      <c r="D64" s="6">
        <v>-2.0846604528497372</v>
      </c>
      <c r="E64" s="7">
        <v>0.20740712890031587</v>
      </c>
      <c r="F64" s="8">
        <f t="shared" si="0"/>
        <v>99</v>
      </c>
      <c r="G64" s="8">
        <f t="shared" si="1"/>
        <v>395</v>
      </c>
      <c r="H64" s="8">
        <f t="shared" si="2"/>
        <v>36</v>
      </c>
      <c r="I64" s="4">
        <v>120.39999999999999</v>
      </c>
    </row>
    <row r="65" spans="1:9" x14ac:dyDescent="0.35">
      <c r="A65" s="2" t="s">
        <v>51</v>
      </c>
      <c r="B65" s="2" t="s">
        <v>43</v>
      </c>
      <c r="C65" s="5">
        <v>6430</v>
      </c>
      <c r="D65" s="6">
        <v>0.9008867299168869</v>
      </c>
      <c r="E65" s="7">
        <v>0.13382518156056866</v>
      </c>
      <c r="F65" s="8">
        <f t="shared" si="0"/>
        <v>128</v>
      </c>
      <c r="G65" s="8">
        <f t="shared" si="1"/>
        <v>188</v>
      </c>
      <c r="H65" s="8">
        <f t="shared" si="2"/>
        <v>96</v>
      </c>
      <c r="I65" s="4">
        <v>120.8</v>
      </c>
    </row>
    <row r="66" spans="1:9" x14ac:dyDescent="0.35">
      <c r="A66" s="2" t="s">
        <v>202</v>
      </c>
      <c r="B66" s="2" t="s">
        <v>147</v>
      </c>
      <c r="C66" s="5">
        <v>1856</v>
      </c>
      <c r="D66" s="6">
        <v>1.1838928315126385</v>
      </c>
      <c r="E66" s="7">
        <v>0.1755359403182688</v>
      </c>
      <c r="F66" s="8">
        <f t="shared" si="0"/>
        <v>295</v>
      </c>
      <c r="G66" s="8">
        <f t="shared" si="1"/>
        <v>159</v>
      </c>
      <c r="H66" s="8">
        <f t="shared" si="2"/>
        <v>53</v>
      </c>
      <c r="I66" s="4">
        <v>122.6</v>
      </c>
    </row>
    <row r="67" spans="1:9" x14ac:dyDescent="0.35">
      <c r="A67" s="2" t="s">
        <v>168</v>
      </c>
      <c r="B67" s="2" t="s">
        <v>147</v>
      </c>
      <c r="C67" s="5">
        <v>3330</v>
      </c>
      <c r="D67" s="6">
        <v>1.8257247991726904</v>
      </c>
      <c r="E67" s="7">
        <v>0.13265633233448448</v>
      </c>
      <c r="F67" s="8">
        <f t="shared" ref="F67:F130" si="3">RANK(C67,$C$3:$C$404)</f>
        <v>218</v>
      </c>
      <c r="G67" s="8">
        <f t="shared" ref="G67:G130" si="4">RANK(D67,$D$3:$D$404)</f>
        <v>104</v>
      </c>
      <c r="H67" s="8">
        <f t="shared" ref="H67:H130" si="5">RANK(E67,$E$3:$E$404)</f>
        <v>98</v>
      </c>
      <c r="I67" s="4">
        <v>123.2</v>
      </c>
    </row>
    <row r="68" spans="1:9" x14ac:dyDescent="0.35">
      <c r="A68" s="2" t="s">
        <v>386</v>
      </c>
      <c r="B68" s="2" t="s">
        <v>372</v>
      </c>
      <c r="C68" s="5">
        <v>109709</v>
      </c>
      <c r="D68" s="6">
        <v>1.9146399889294472</v>
      </c>
      <c r="E68" s="7">
        <v>7.5089689990123221E-2</v>
      </c>
      <c r="F68" s="8">
        <f t="shared" si="3"/>
        <v>3</v>
      </c>
      <c r="G68" s="8">
        <f t="shared" si="4"/>
        <v>95</v>
      </c>
      <c r="H68" s="8">
        <f t="shared" si="5"/>
        <v>173</v>
      </c>
      <c r="I68" s="4">
        <v>123.4</v>
      </c>
    </row>
    <row r="69" spans="1:9" x14ac:dyDescent="0.35">
      <c r="A69" s="2" t="s">
        <v>126</v>
      </c>
      <c r="B69" s="2" t="s">
        <v>117</v>
      </c>
      <c r="C69" s="5">
        <v>1998</v>
      </c>
      <c r="D69" s="6">
        <v>-0.24709576661962729</v>
      </c>
      <c r="E69" s="7">
        <v>0.54159335242637097</v>
      </c>
      <c r="F69" s="8">
        <f t="shared" si="3"/>
        <v>286</v>
      </c>
      <c r="G69" s="8">
        <f t="shared" si="4"/>
        <v>330</v>
      </c>
      <c r="H69" s="8">
        <f t="shared" si="5"/>
        <v>2</v>
      </c>
      <c r="I69" s="4">
        <v>124.4</v>
      </c>
    </row>
    <row r="70" spans="1:9" x14ac:dyDescent="0.35">
      <c r="A70" s="2" t="s">
        <v>321</v>
      </c>
      <c r="B70" s="2" t="s">
        <v>310</v>
      </c>
      <c r="C70" s="5">
        <v>2588</v>
      </c>
      <c r="D70" s="6">
        <v>8.8932227311588345</v>
      </c>
      <c r="E70" s="7">
        <v>0.10882199530612402</v>
      </c>
      <c r="F70" s="8">
        <f t="shared" si="3"/>
        <v>250</v>
      </c>
      <c r="G70" s="8">
        <f t="shared" si="4"/>
        <v>11</v>
      </c>
      <c r="H70" s="8">
        <f t="shared" si="5"/>
        <v>122</v>
      </c>
      <c r="I70" s="4">
        <v>125.4</v>
      </c>
    </row>
    <row r="71" spans="1:9" x14ac:dyDescent="0.35">
      <c r="A71" s="2" t="s">
        <v>304</v>
      </c>
      <c r="B71" s="2" t="s">
        <v>283</v>
      </c>
      <c r="C71" s="5">
        <v>1483</v>
      </c>
      <c r="D71" s="6">
        <v>0.84426672052393703</v>
      </c>
      <c r="E71" s="7">
        <v>0.21778306997894692</v>
      </c>
      <c r="F71" s="8">
        <f t="shared" si="3"/>
        <v>335</v>
      </c>
      <c r="G71" s="8">
        <f t="shared" si="4"/>
        <v>198</v>
      </c>
      <c r="H71" s="8">
        <f t="shared" si="5"/>
        <v>32</v>
      </c>
      <c r="I71" s="4">
        <v>125.8</v>
      </c>
    </row>
    <row r="72" spans="1:9" x14ac:dyDescent="0.35">
      <c r="A72" s="2" t="s">
        <v>291</v>
      </c>
      <c r="B72" s="2" t="s">
        <v>283</v>
      </c>
      <c r="C72" s="5">
        <v>7542</v>
      </c>
      <c r="D72" s="6">
        <v>-0.84589101178552195</v>
      </c>
      <c r="E72" s="7">
        <v>0.17839346024834901</v>
      </c>
      <c r="F72" s="8">
        <f t="shared" si="3"/>
        <v>115</v>
      </c>
      <c r="G72" s="8">
        <f t="shared" si="4"/>
        <v>368</v>
      </c>
      <c r="H72" s="8">
        <f t="shared" si="5"/>
        <v>50</v>
      </c>
      <c r="I72" s="4">
        <v>126.60000000000001</v>
      </c>
    </row>
    <row r="73" spans="1:9" x14ac:dyDescent="0.35">
      <c r="A73" s="2" t="s">
        <v>404</v>
      </c>
      <c r="B73" s="2" t="s">
        <v>388</v>
      </c>
      <c r="C73" s="5">
        <v>1569</v>
      </c>
      <c r="D73" s="6">
        <v>1.5348891551827442</v>
      </c>
      <c r="E73" s="7">
        <v>0.16375839010278215</v>
      </c>
      <c r="F73" s="8">
        <f t="shared" si="3"/>
        <v>324</v>
      </c>
      <c r="G73" s="8">
        <f t="shared" si="4"/>
        <v>128</v>
      </c>
      <c r="H73" s="8">
        <f t="shared" si="5"/>
        <v>63</v>
      </c>
      <c r="I73" s="4">
        <v>128.19999999999999</v>
      </c>
    </row>
    <row r="74" spans="1:9" x14ac:dyDescent="0.35">
      <c r="A74" s="2" t="s">
        <v>160</v>
      </c>
      <c r="B74" s="2" t="s">
        <v>147</v>
      </c>
      <c r="C74" s="5">
        <v>13578</v>
      </c>
      <c r="D74" s="6">
        <v>0.35669040929887685</v>
      </c>
      <c r="E74" s="7">
        <v>0.12819025944621076</v>
      </c>
      <c r="F74" s="8">
        <f t="shared" si="3"/>
        <v>68</v>
      </c>
      <c r="G74" s="8">
        <f t="shared" si="4"/>
        <v>266</v>
      </c>
      <c r="H74" s="8">
        <f t="shared" si="5"/>
        <v>103</v>
      </c>
      <c r="I74" s="4">
        <v>128.60000000000002</v>
      </c>
    </row>
    <row r="75" spans="1:9" x14ac:dyDescent="0.35">
      <c r="A75" s="2" t="s">
        <v>181</v>
      </c>
      <c r="B75" s="2" t="s">
        <v>147</v>
      </c>
      <c r="C75" s="5">
        <v>3623</v>
      </c>
      <c r="D75" s="6">
        <v>2.1253001677820949E-2</v>
      </c>
      <c r="E75" s="7">
        <v>0.18974247096798691</v>
      </c>
      <c r="F75" s="8">
        <f t="shared" si="3"/>
        <v>208</v>
      </c>
      <c r="G75" s="8">
        <f t="shared" si="4"/>
        <v>307</v>
      </c>
      <c r="H75" s="8">
        <f t="shared" si="5"/>
        <v>43</v>
      </c>
      <c r="I75" s="4">
        <v>128.80000000000001</v>
      </c>
    </row>
    <row r="76" spans="1:9" x14ac:dyDescent="0.35">
      <c r="A76" s="2" t="s">
        <v>153</v>
      </c>
      <c r="B76" s="2" t="s">
        <v>147</v>
      </c>
      <c r="C76" s="5">
        <v>4298</v>
      </c>
      <c r="D76" s="6">
        <v>0.15570273320665481</v>
      </c>
      <c r="E76" s="7">
        <v>0.17041008338826624</v>
      </c>
      <c r="F76" s="8">
        <f t="shared" si="3"/>
        <v>184</v>
      </c>
      <c r="G76" s="8">
        <f t="shared" si="4"/>
        <v>293</v>
      </c>
      <c r="H76" s="8">
        <f t="shared" si="5"/>
        <v>56</v>
      </c>
      <c r="I76" s="4">
        <v>129</v>
      </c>
    </row>
    <row r="77" spans="1:9" x14ac:dyDescent="0.35">
      <c r="A77" s="2" t="s">
        <v>396</v>
      </c>
      <c r="B77" s="2" t="s">
        <v>388</v>
      </c>
      <c r="C77" s="5">
        <v>5849</v>
      </c>
      <c r="D77" s="6">
        <v>1.2187545828578563</v>
      </c>
      <c r="E77" s="7">
        <v>0.11620468125534611</v>
      </c>
      <c r="F77" s="8">
        <f t="shared" si="3"/>
        <v>144</v>
      </c>
      <c r="G77" s="8">
        <f t="shared" si="4"/>
        <v>156</v>
      </c>
      <c r="H77" s="8">
        <f t="shared" si="5"/>
        <v>115</v>
      </c>
      <c r="I77" s="4">
        <v>129</v>
      </c>
    </row>
    <row r="78" spans="1:9" x14ac:dyDescent="0.35">
      <c r="A78" s="2" t="s">
        <v>42</v>
      </c>
      <c r="B78" s="2" t="s">
        <v>43</v>
      </c>
      <c r="C78" s="5">
        <v>30177</v>
      </c>
      <c r="D78" s="6">
        <v>1.3400602841260039</v>
      </c>
      <c r="E78" s="7">
        <v>8.9484650053516024E-2</v>
      </c>
      <c r="F78" s="8">
        <f t="shared" si="3"/>
        <v>35</v>
      </c>
      <c r="G78" s="8">
        <f t="shared" si="4"/>
        <v>146</v>
      </c>
      <c r="H78" s="8">
        <f t="shared" si="5"/>
        <v>156</v>
      </c>
      <c r="I78" s="4">
        <v>129.80000000000001</v>
      </c>
    </row>
    <row r="79" spans="1:9" x14ac:dyDescent="0.35">
      <c r="A79" s="2" t="s">
        <v>340</v>
      </c>
      <c r="B79" s="2" t="s">
        <v>328</v>
      </c>
      <c r="C79" s="5">
        <v>8241</v>
      </c>
      <c r="D79" s="6">
        <v>-0.12744350276108385</v>
      </c>
      <c r="E79" s="7">
        <v>0.15282768843817851</v>
      </c>
      <c r="F79" s="8">
        <f t="shared" si="3"/>
        <v>106</v>
      </c>
      <c r="G79" s="8">
        <f t="shared" si="4"/>
        <v>319</v>
      </c>
      <c r="H79" s="8">
        <f t="shared" si="5"/>
        <v>77</v>
      </c>
      <c r="I79" s="4">
        <v>131.19999999999999</v>
      </c>
    </row>
    <row r="80" spans="1:9" x14ac:dyDescent="0.35">
      <c r="A80" s="2" t="s">
        <v>412</v>
      </c>
      <c r="B80" s="2" t="s">
        <v>409</v>
      </c>
      <c r="C80" s="5">
        <v>2710</v>
      </c>
      <c r="D80" s="6">
        <v>3.6742465076730864</v>
      </c>
      <c r="E80" s="7">
        <v>0.10556788703859521</v>
      </c>
      <c r="F80" s="8">
        <f t="shared" si="3"/>
        <v>243</v>
      </c>
      <c r="G80" s="8">
        <f t="shared" si="4"/>
        <v>37</v>
      </c>
      <c r="H80" s="8">
        <f t="shared" si="5"/>
        <v>126</v>
      </c>
      <c r="I80" s="4">
        <v>131.6</v>
      </c>
    </row>
    <row r="81" spans="1:9" x14ac:dyDescent="0.35">
      <c r="A81" s="2" t="s">
        <v>14</v>
      </c>
      <c r="B81" s="2" t="s">
        <v>9</v>
      </c>
      <c r="C81" s="5">
        <v>10669</v>
      </c>
      <c r="D81" s="6">
        <v>0.51916223721652832</v>
      </c>
      <c r="E81" s="7">
        <v>0.1216664558952143</v>
      </c>
      <c r="F81" s="8">
        <f t="shared" si="3"/>
        <v>89</v>
      </c>
      <c r="G81" s="8">
        <f t="shared" si="4"/>
        <v>247</v>
      </c>
      <c r="H81" s="8">
        <f t="shared" si="5"/>
        <v>109</v>
      </c>
      <c r="I81" s="4">
        <v>132.6</v>
      </c>
    </row>
    <row r="82" spans="1:9" x14ac:dyDescent="0.35">
      <c r="A82" s="2" t="s">
        <v>365</v>
      </c>
      <c r="B82" s="2" t="s">
        <v>349</v>
      </c>
      <c r="C82" s="5">
        <v>49721</v>
      </c>
      <c r="D82" s="6">
        <v>-0.48147895252897799</v>
      </c>
      <c r="E82" s="7">
        <v>0.12945908074093482</v>
      </c>
      <c r="F82" s="8">
        <f t="shared" si="3"/>
        <v>19</v>
      </c>
      <c r="G82" s="8">
        <f t="shared" si="4"/>
        <v>344</v>
      </c>
      <c r="H82" s="8">
        <f t="shared" si="5"/>
        <v>100</v>
      </c>
      <c r="I82" s="4">
        <v>132.6</v>
      </c>
    </row>
    <row r="83" spans="1:9" x14ac:dyDescent="0.35">
      <c r="A83" s="2" t="s">
        <v>419</v>
      </c>
      <c r="B83" s="2" t="s">
        <v>409</v>
      </c>
      <c r="C83" s="5">
        <v>3399</v>
      </c>
      <c r="D83" s="6">
        <v>5.3071079023918086</v>
      </c>
      <c r="E83" s="7">
        <v>9.7652847974141865E-2</v>
      </c>
      <c r="F83" s="8">
        <f t="shared" si="3"/>
        <v>215</v>
      </c>
      <c r="G83" s="8">
        <f t="shared" si="4"/>
        <v>22</v>
      </c>
      <c r="H83" s="8">
        <f t="shared" si="5"/>
        <v>142</v>
      </c>
      <c r="I83" s="4">
        <v>132.6</v>
      </c>
    </row>
    <row r="84" spans="1:9" x14ac:dyDescent="0.35">
      <c r="A84" s="2" t="s">
        <v>347</v>
      </c>
      <c r="B84" s="2" t="s">
        <v>328</v>
      </c>
      <c r="C84" s="5">
        <v>34871</v>
      </c>
      <c r="D84" s="6">
        <v>1.0504015016705974</v>
      </c>
      <c r="E84" s="7">
        <v>9.1959101799661935E-2</v>
      </c>
      <c r="F84" s="8">
        <f t="shared" si="3"/>
        <v>28</v>
      </c>
      <c r="G84" s="8">
        <f t="shared" si="4"/>
        <v>177</v>
      </c>
      <c r="H84" s="8">
        <f t="shared" si="5"/>
        <v>153</v>
      </c>
      <c r="I84" s="4">
        <v>132.80000000000001</v>
      </c>
    </row>
    <row r="85" spans="1:9" x14ac:dyDescent="0.35">
      <c r="A85" s="2" t="s">
        <v>133</v>
      </c>
      <c r="B85" s="2" t="s">
        <v>117</v>
      </c>
      <c r="C85" s="5">
        <v>5409</v>
      </c>
      <c r="D85" s="6">
        <v>0.18171437625087059</v>
      </c>
      <c r="E85" s="7">
        <v>0.15399349012071806</v>
      </c>
      <c r="F85" s="8">
        <f t="shared" si="3"/>
        <v>150</v>
      </c>
      <c r="G85" s="8">
        <f t="shared" si="4"/>
        <v>290</v>
      </c>
      <c r="H85" s="8">
        <f t="shared" si="5"/>
        <v>75</v>
      </c>
      <c r="I85" s="4">
        <v>133</v>
      </c>
    </row>
    <row r="86" spans="1:9" x14ac:dyDescent="0.35">
      <c r="A86" s="2" t="s">
        <v>269</v>
      </c>
      <c r="B86" s="2" t="s">
        <v>258</v>
      </c>
      <c r="C86" s="5">
        <v>2553</v>
      </c>
      <c r="D86" s="6">
        <v>0.83597207759073489</v>
      </c>
      <c r="E86" s="7">
        <v>0.1568839587089117</v>
      </c>
      <c r="F86" s="8">
        <f t="shared" si="3"/>
        <v>255</v>
      </c>
      <c r="G86" s="8">
        <f t="shared" si="4"/>
        <v>202</v>
      </c>
      <c r="H86" s="8">
        <f t="shared" si="5"/>
        <v>70</v>
      </c>
      <c r="I86" s="4">
        <v>133.4</v>
      </c>
    </row>
    <row r="87" spans="1:9" x14ac:dyDescent="0.35">
      <c r="A87" s="2" t="s">
        <v>115</v>
      </c>
      <c r="B87" s="2" t="s">
        <v>94</v>
      </c>
      <c r="C87" s="5">
        <v>1435</v>
      </c>
      <c r="D87" s="6">
        <v>0.23469348557671318</v>
      </c>
      <c r="E87" s="7">
        <v>0.29960076400082292</v>
      </c>
      <c r="F87" s="8">
        <f t="shared" si="3"/>
        <v>340</v>
      </c>
      <c r="G87" s="8">
        <f t="shared" si="4"/>
        <v>283</v>
      </c>
      <c r="H87" s="8">
        <f t="shared" si="5"/>
        <v>15</v>
      </c>
      <c r="I87" s="4">
        <v>133.6</v>
      </c>
    </row>
    <row r="88" spans="1:9" x14ac:dyDescent="0.35">
      <c r="A88" s="2" t="s">
        <v>154</v>
      </c>
      <c r="B88" s="2" t="s">
        <v>147</v>
      </c>
      <c r="C88" s="5">
        <v>6176</v>
      </c>
      <c r="D88" s="6">
        <v>1.0125323031836952</v>
      </c>
      <c r="E88" s="7">
        <v>0.11173383462898223</v>
      </c>
      <c r="F88" s="8">
        <f t="shared" si="3"/>
        <v>135</v>
      </c>
      <c r="G88" s="8">
        <f t="shared" si="4"/>
        <v>180</v>
      </c>
      <c r="H88" s="8">
        <f t="shared" si="5"/>
        <v>119</v>
      </c>
      <c r="I88" s="4">
        <v>134.39999999999998</v>
      </c>
    </row>
    <row r="89" spans="1:9" x14ac:dyDescent="0.35">
      <c r="A89" s="2" t="s">
        <v>200</v>
      </c>
      <c r="B89" s="2" t="s">
        <v>147</v>
      </c>
      <c r="C89" s="5">
        <v>19418</v>
      </c>
      <c r="D89" s="6">
        <v>-0.3599541214490477</v>
      </c>
      <c r="E89" s="7">
        <v>0.13513687119163809</v>
      </c>
      <c r="F89" s="8">
        <f t="shared" si="3"/>
        <v>53</v>
      </c>
      <c r="G89" s="8">
        <f t="shared" si="4"/>
        <v>335</v>
      </c>
      <c r="H89" s="8">
        <f t="shared" si="5"/>
        <v>95</v>
      </c>
      <c r="I89" s="4">
        <v>134.6</v>
      </c>
    </row>
    <row r="90" spans="1:9" x14ac:dyDescent="0.35">
      <c r="A90" s="2" t="s">
        <v>281</v>
      </c>
      <c r="B90" s="2" t="s">
        <v>258</v>
      </c>
      <c r="C90" s="5">
        <v>3703</v>
      </c>
      <c r="D90" s="6">
        <v>-0.2759464514642283</v>
      </c>
      <c r="E90" s="7">
        <v>0.18199838495315612</v>
      </c>
      <c r="F90" s="8">
        <f t="shared" si="3"/>
        <v>205</v>
      </c>
      <c r="G90" s="8">
        <f t="shared" si="4"/>
        <v>331</v>
      </c>
      <c r="H90" s="8">
        <f t="shared" si="5"/>
        <v>46</v>
      </c>
      <c r="I90" s="4">
        <v>134.80000000000001</v>
      </c>
    </row>
    <row r="91" spans="1:9" x14ac:dyDescent="0.35">
      <c r="A91" s="2" t="s">
        <v>264</v>
      </c>
      <c r="B91" s="2" t="s">
        <v>258</v>
      </c>
      <c r="C91" s="5">
        <v>3457</v>
      </c>
      <c r="D91" s="6">
        <v>1.3658745489408037</v>
      </c>
      <c r="E91" s="7">
        <v>0.12491716664475327</v>
      </c>
      <c r="F91" s="8">
        <f t="shared" si="3"/>
        <v>212</v>
      </c>
      <c r="G91" s="8">
        <f t="shared" si="4"/>
        <v>143</v>
      </c>
      <c r="H91" s="8">
        <f t="shared" si="5"/>
        <v>107</v>
      </c>
      <c r="I91" s="4">
        <v>135.19999999999999</v>
      </c>
    </row>
    <row r="92" spans="1:9" x14ac:dyDescent="0.35">
      <c r="A92" s="2" t="s">
        <v>360</v>
      </c>
      <c r="B92" s="2" t="s">
        <v>349</v>
      </c>
      <c r="C92" s="5">
        <v>1697</v>
      </c>
      <c r="D92" s="6">
        <v>-5.5901976787295825E-2</v>
      </c>
      <c r="E92" s="7">
        <v>0.26152231786845914</v>
      </c>
      <c r="F92" s="8">
        <f t="shared" si="3"/>
        <v>314</v>
      </c>
      <c r="G92" s="8">
        <f t="shared" si="4"/>
        <v>310</v>
      </c>
      <c r="H92" s="8">
        <f t="shared" si="5"/>
        <v>20</v>
      </c>
      <c r="I92" s="4">
        <v>136.80000000000001</v>
      </c>
    </row>
    <row r="93" spans="1:9" x14ac:dyDescent="0.35">
      <c r="A93" s="2" t="s">
        <v>140</v>
      </c>
      <c r="B93" s="2" t="s">
        <v>117</v>
      </c>
      <c r="C93" s="5">
        <v>7519</v>
      </c>
      <c r="D93" s="6">
        <v>-0.54644528788988567</v>
      </c>
      <c r="E93" s="7">
        <v>0.15493691669344467</v>
      </c>
      <c r="F93" s="8">
        <f t="shared" si="3"/>
        <v>116</v>
      </c>
      <c r="G93" s="8">
        <f t="shared" si="4"/>
        <v>353</v>
      </c>
      <c r="H93" s="8">
        <f t="shared" si="5"/>
        <v>74</v>
      </c>
      <c r="I93" s="4">
        <v>138.20000000000002</v>
      </c>
    </row>
    <row r="94" spans="1:9" x14ac:dyDescent="0.35">
      <c r="A94" s="2" t="s">
        <v>65</v>
      </c>
      <c r="B94" s="2" t="s">
        <v>61</v>
      </c>
      <c r="C94" s="5">
        <v>2618</v>
      </c>
      <c r="D94" s="6">
        <v>-0.81628129138635974</v>
      </c>
      <c r="E94" s="7">
        <v>0.22508420581017385</v>
      </c>
      <c r="F94" s="8">
        <f t="shared" si="3"/>
        <v>247</v>
      </c>
      <c r="G94" s="8">
        <f t="shared" si="4"/>
        <v>365</v>
      </c>
      <c r="H94" s="8">
        <f t="shared" si="5"/>
        <v>27</v>
      </c>
      <c r="I94" s="4">
        <v>138.6</v>
      </c>
    </row>
    <row r="95" spans="1:9" x14ac:dyDescent="0.35">
      <c r="A95" s="2" t="s">
        <v>97</v>
      </c>
      <c r="B95" s="2" t="s">
        <v>94</v>
      </c>
      <c r="C95" s="5">
        <v>7400</v>
      </c>
      <c r="D95" s="6">
        <v>1.7283059598974089</v>
      </c>
      <c r="E95" s="7">
        <v>8.9928226856494042E-2</v>
      </c>
      <c r="F95" s="8">
        <f t="shared" si="3"/>
        <v>118</v>
      </c>
      <c r="G95" s="8">
        <f t="shared" si="4"/>
        <v>111</v>
      </c>
      <c r="H95" s="8">
        <f t="shared" si="5"/>
        <v>155</v>
      </c>
      <c r="I95" s="4">
        <v>138.80000000000001</v>
      </c>
    </row>
    <row r="96" spans="1:9" x14ac:dyDescent="0.35">
      <c r="A96" s="2" t="s">
        <v>344</v>
      </c>
      <c r="B96" s="2" t="s">
        <v>328</v>
      </c>
      <c r="C96" s="5">
        <v>7564</v>
      </c>
      <c r="D96" s="6">
        <v>0.70425071295565</v>
      </c>
      <c r="E96" s="7">
        <v>0.11135999874518765</v>
      </c>
      <c r="F96" s="8">
        <f t="shared" si="3"/>
        <v>114</v>
      </c>
      <c r="G96" s="8">
        <f t="shared" si="4"/>
        <v>220</v>
      </c>
      <c r="H96" s="8">
        <f t="shared" si="5"/>
        <v>120</v>
      </c>
      <c r="I96" s="4">
        <v>138.80000000000001</v>
      </c>
    </row>
    <row r="97" spans="1:9" x14ac:dyDescent="0.35">
      <c r="A97" s="2" t="s">
        <v>57</v>
      </c>
      <c r="B97" s="2" t="s">
        <v>43</v>
      </c>
      <c r="C97" s="5">
        <v>25991</v>
      </c>
      <c r="D97" s="6">
        <v>0.14562657865775533</v>
      </c>
      <c r="E97" s="7">
        <v>0.10936036533375582</v>
      </c>
      <c r="F97" s="8">
        <f t="shared" si="3"/>
        <v>42</v>
      </c>
      <c r="G97" s="8">
        <f t="shared" si="4"/>
        <v>296</v>
      </c>
      <c r="H97" s="8">
        <f t="shared" si="5"/>
        <v>121</v>
      </c>
      <c r="I97" s="4">
        <v>140.19999999999999</v>
      </c>
    </row>
    <row r="98" spans="1:9" x14ac:dyDescent="0.35">
      <c r="A98" s="2" t="s">
        <v>337</v>
      </c>
      <c r="B98" s="2" t="s">
        <v>328</v>
      </c>
      <c r="C98" s="5">
        <v>18895</v>
      </c>
      <c r="D98" s="6">
        <v>-1.2692605397595333</v>
      </c>
      <c r="E98" s="7">
        <v>0.13835300389115446</v>
      </c>
      <c r="F98" s="8">
        <f t="shared" si="3"/>
        <v>54</v>
      </c>
      <c r="G98" s="8">
        <f t="shared" si="4"/>
        <v>381</v>
      </c>
      <c r="H98" s="8">
        <f t="shared" si="5"/>
        <v>90</v>
      </c>
      <c r="I98" s="4">
        <v>141</v>
      </c>
    </row>
    <row r="99" spans="1:9" x14ac:dyDescent="0.35">
      <c r="A99" s="2" t="s">
        <v>25</v>
      </c>
      <c r="B99" s="2" t="s">
        <v>24</v>
      </c>
      <c r="C99" s="5">
        <v>33142</v>
      </c>
      <c r="D99" s="6">
        <v>0.73986132589110798</v>
      </c>
      <c r="E99" s="7">
        <v>9.10933046988045E-2</v>
      </c>
      <c r="F99" s="8">
        <f t="shared" si="3"/>
        <v>32</v>
      </c>
      <c r="G99" s="8">
        <f t="shared" si="4"/>
        <v>214</v>
      </c>
      <c r="H99" s="8">
        <f t="shared" si="5"/>
        <v>154</v>
      </c>
      <c r="I99" s="4">
        <v>141.6</v>
      </c>
    </row>
    <row r="100" spans="1:9" x14ac:dyDescent="0.35">
      <c r="A100" s="2" t="s">
        <v>423</v>
      </c>
      <c r="B100" s="2" t="s">
        <v>409</v>
      </c>
      <c r="C100" s="5">
        <v>5548</v>
      </c>
      <c r="D100" s="6">
        <v>4.6358809369519571</v>
      </c>
      <c r="E100" s="7">
        <v>7.2319016684795123E-2</v>
      </c>
      <c r="F100" s="8">
        <f t="shared" si="3"/>
        <v>148</v>
      </c>
      <c r="G100" s="8">
        <f t="shared" si="4"/>
        <v>28</v>
      </c>
      <c r="H100" s="8">
        <f t="shared" si="5"/>
        <v>179</v>
      </c>
      <c r="I100" s="4">
        <v>142.6</v>
      </c>
    </row>
    <row r="101" spans="1:9" x14ac:dyDescent="0.35">
      <c r="A101" s="2" t="s">
        <v>161</v>
      </c>
      <c r="B101" s="2" t="s">
        <v>147</v>
      </c>
      <c r="C101" s="5">
        <v>4617</v>
      </c>
      <c r="D101" s="6">
        <v>1.3003876813172455</v>
      </c>
      <c r="E101" s="7">
        <v>0.10404536839760992</v>
      </c>
      <c r="F101" s="8">
        <f t="shared" si="3"/>
        <v>172</v>
      </c>
      <c r="G101" s="8">
        <f t="shared" si="4"/>
        <v>149</v>
      </c>
      <c r="H101" s="8">
        <f t="shared" si="5"/>
        <v>131</v>
      </c>
      <c r="I101" s="4">
        <v>142.80000000000001</v>
      </c>
    </row>
    <row r="102" spans="1:9" x14ac:dyDescent="0.35">
      <c r="A102" s="2" t="s">
        <v>104</v>
      </c>
      <c r="B102" s="2" t="s">
        <v>94</v>
      </c>
      <c r="C102" s="5">
        <v>5400</v>
      </c>
      <c r="D102" s="6">
        <v>1.4680794502368479</v>
      </c>
      <c r="E102" s="7">
        <v>9.7467935364383473E-2</v>
      </c>
      <c r="F102" s="8">
        <f t="shared" si="3"/>
        <v>151</v>
      </c>
      <c r="G102" s="8">
        <f t="shared" si="4"/>
        <v>137</v>
      </c>
      <c r="H102" s="8">
        <f t="shared" si="5"/>
        <v>143</v>
      </c>
      <c r="I102" s="4">
        <v>143.4</v>
      </c>
    </row>
    <row r="103" spans="1:9" x14ac:dyDescent="0.35">
      <c r="A103" s="2" t="s">
        <v>201</v>
      </c>
      <c r="B103" s="2" t="s">
        <v>147</v>
      </c>
      <c r="C103" s="5">
        <v>2491</v>
      </c>
      <c r="D103" s="6">
        <v>-0.72724116233003455</v>
      </c>
      <c r="E103" s="7">
        <v>0.21530386379887978</v>
      </c>
      <c r="F103" s="8">
        <f t="shared" si="3"/>
        <v>259</v>
      </c>
      <c r="G103" s="8">
        <f t="shared" si="4"/>
        <v>359</v>
      </c>
      <c r="H103" s="8">
        <f t="shared" si="5"/>
        <v>33</v>
      </c>
      <c r="I103" s="4">
        <v>143.4</v>
      </c>
    </row>
    <row r="104" spans="1:9" x14ac:dyDescent="0.35">
      <c r="A104" s="2" t="s">
        <v>401</v>
      </c>
      <c r="B104" s="2" t="s">
        <v>388</v>
      </c>
      <c r="C104" s="5">
        <v>2664</v>
      </c>
      <c r="D104" s="6">
        <v>-1.3094196848328987</v>
      </c>
      <c r="E104" s="7">
        <v>0.21916779733062919</v>
      </c>
      <c r="F104" s="8">
        <f t="shared" si="3"/>
        <v>245</v>
      </c>
      <c r="G104" s="8">
        <f t="shared" si="4"/>
        <v>383</v>
      </c>
      <c r="H104" s="8">
        <f t="shared" si="5"/>
        <v>30</v>
      </c>
      <c r="I104" s="4">
        <v>143.60000000000002</v>
      </c>
    </row>
    <row r="105" spans="1:9" x14ac:dyDescent="0.35">
      <c r="A105" s="2" t="s">
        <v>327</v>
      </c>
      <c r="B105" s="2" t="s">
        <v>328</v>
      </c>
      <c r="C105" s="5">
        <v>11207</v>
      </c>
      <c r="D105" s="6">
        <v>0.50624841954486277</v>
      </c>
      <c r="E105" s="7">
        <v>0.1040690577785095</v>
      </c>
      <c r="F105" s="8">
        <f t="shared" si="3"/>
        <v>83</v>
      </c>
      <c r="G105" s="8">
        <f t="shared" si="4"/>
        <v>248</v>
      </c>
      <c r="H105" s="8">
        <f t="shared" si="5"/>
        <v>130</v>
      </c>
      <c r="I105" s="4">
        <v>144.19999999999999</v>
      </c>
    </row>
    <row r="106" spans="1:9" x14ac:dyDescent="0.35">
      <c r="A106" s="2" t="s">
        <v>299</v>
      </c>
      <c r="B106" s="2" t="s">
        <v>283</v>
      </c>
      <c r="C106" s="5">
        <v>35501</v>
      </c>
      <c r="D106" s="6">
        <v>0.36958643242980449</v>
      </c>
      <c r="E106" s="7">
        <v>9.5785303176732617E-2</v>
      </c>
      <c r="F106" s="8">
        <f t="shared" si="3"/>
        <v>27</v>
      </c>
      <c r="G106" s="8">
        <f t="shared" si="4"/>
        <v>264</v>
      </c>
      <c r="H106" s="8">
        <f t="shared" si="5"/>
        <v>144</v>
      </c>
      <c r="I106" s="4">
        <v>144.6</v>
      </c>
    </row>
    <row r="107" spans="1:9" x14ac:dyDescent="0.35">
      <c r="A107" s="2" t="s">
        <v>27</v>
      </c>
      <c r="B107" s="2" t="s">
        <v>24</v>
      </c>
      <c r="C107" s="5">
        <v>1471</v>
      </c>
      <c r="D107" s="6">
        <v>0.32482150671305227</v>
      </c>
      <c r="E107" s="7">
        <v>0.20011142576686325</v>
      </c>
      <c r="F107" s="8">
        <f t="shared" si="3"/>
        <v>336</v>
      </c>
      <c r="G107" s="8">
        <f t="shared" si="4"/>
        <v>271</v>
      </c>
      <c r="H107" s="8">
        <f t="shared" si="5"/>
        <v>39</v>
      </c>
      <c r="I107" s="4">
        <v>144.80000000000001</v>
      </c>
    </row>
    <row r="108" spans="1:9" x14ac:dyDescent="0.35">
      <c r="A108" s="2" t="s">
        <v>149</v>
      </c>
      <c r="B108" s="2" t="s">
        <v>147</v>
      </c>
      <c r="C108" s="5">
        <v>33946</v>
      </c>
      <c r="D108" s="6">
        <v>0.14193273135470452</v>
      </c>
      <c r="E108" s="7">
        <v>0.10214544916246537</v>
      </c>
      <c r="F108" s="8">
        <f t="shared" si="3"/>
        <v>31</v>
      </c>
      <c r="G108" s="8">
        <f t="shared" si="4"/>
        <v>297</v>
      </c>
      <c r="H108" s="8">
        <f t="shared" si="5"/>
        <v>132</v>
      </c>
      <c r="I108" s="4">
        <v>144.80000000000001</v>
      </c>
    </row>
    <row r="109" spans="1:9" x14ac:dyDescent="0.35">
      <c r="A109" s="2" t="s">
        <v>408</v>
      </c>
      <c r="B109" s="2" t="s">
        <v>409</v>
      </c>
      <c r="C109" s="5">
        <v>21629</v>
      </c>
      <c r="D109" s="6">
        <v>1.0780723984164731</v>
      </c>
      <c r="E109" s="7">
        <v>8.1497470272022809E-2</v>
      </c>
      <c r="F109" s="8">
        <f t="shared" si="3"/>
        <v>48</v>
      </c>
      <c r="G109" s="8">
        <f t="shared" si="4"/>
        <v>172</v>
      </c>
      <c r="H109" s="8">
        <f t="shared" si="5"/>
        <v>168</v>
      </c>
      <c r="I109" s="4">
        <v>144.80000000000001</v>
      </c>
    </row>
    <row r="110" spans="1:9" x14ac:dyDescent="0.35">
      <c r="A110" s="2" t="s">
        <v>171</v>
      </c>
      <c r="B110" s="2" t="s">
        <v>147</v>
      </c>
      <c r="C110" s="5">
        <v>13097</v>
      </c>
      <c r="D110" s="6">
        <v>0.60384186084061886</v>
      </c>
      <c r="E110" s="7">
        <v>9.8607935192669638E-2</v>
      </c>
      <c r="F110" s="8">
        <f t="shared" si="3"/>
        <v>72</v>
      </c>
      <c r="G110" s="8">
        <f t="shared" si="4"/>
        <v>236</v>
      </c>
      <c r="H110" s="8">
        <f t="shared" si="5"/>
        <v>139</v>
      </c>
      <c r="I110" s="4">
        <v>145</v>
      </c>
    </row>
    <row r="111" spans="1:9" x14ac:dyDescent="0.35">
      <c r="A111" s="2" t="s">
        <v>424</v>
      </c>
      <c r="B111" s="2" t="s">
        <v>409</v>
      </c>
      <c r="C111" s="5">
        <v>16063</v>
      </c>
      <c r="D111" s="6">
        <v>3.2347584390089117</v>
      </c>
      <c r="E111" s="7">
        <v>4.8306142801421981E-2</v>
      </c>
      <c r="F111" s="8">
        <f t="shared" si="3"/>
        <v>62</v>
      </c>
      <c r="G111" s="8">
        <f t="shared" si="4"/>
        <v>42</v>
      </c>
      <c r="H111" s="8">
        <f t="shared" si="5"/>
        <v>207</v>
      </c>
      <c r="I111" s="4">
        <v>145</v>
      </c>
    </row>
    <row r="112" spans="1:9" x14ac:dyDescent="0.35">
      <c r="A112" s="2" t="s">
        <v>188</v>
      </c>
      <c r="B112" s="2" t="s">
        <v>147</v>
      </c>
      <c r="C112" s="5">
        <v>3963</v>
      </c>
      <c r="D112" s="6">
        <v>1.3399752056801533</v>
      </c>
      <c r="E112" s="7">
        <v>0.10488176167112662</v>
      </c>
      <c r="F112" s="8">
        <f t="shared" si="3"/>
        <v>196</v>
      </c>
      <c r="G112" s="8">
        <f t="shared" si="4"/>
        <v>147</v>
      </c>
      <c r="H112" s="8">
        <f t="shared" si="5"/>
        <v>128</v>
      </c>
      <c r="I112" s="4">
        <v>145.4</v>
      </c>
    </row>
    <row r="113" spans="1:9" x14ac:dyDescent="0.35">
      <c r="A113" s="2" t="s">
        <v>16</v>
      </c>
      <c r="B113" s="2" t="s">
        <v>9</v>
      </c>
      <c r="C113" s="5">
        <v>1546</v>
      </c>
      <c r="D113" s="6">
        <v>0.83761412617726927</v>
      </c>
      <c r="E113" s="7">
        <v>0.15538881688323136</v>
      </c>
      <c r="F113" s="8">
        <f t="shared" si="3"/>
        <v>328</v>
      </c>
      <c r="G113" s="8">
        <f t="shared" si="4"/>
        <v>200</v>
      </c>
      <c r="H113" s="8">
        <f t="shared" si="5"/>
        <v>72</v>
      </c>
      <c r="I113" s="4">
        <v>148.80000000000001</v>
      </c>
    </row>
    <row r="114" spans="1:9" x14ac:dyDescent="0.35">
      <c r="A114" s="2" t="s">
        <v>295</v>
      </c>
      <c r="B114" s="2" t="s">
        <v>283</v>
      </c>
      <c r="C114" s="5">
        <v>1843</v>
      </c>
      <c r="D114" s="6">
        <v>0.15617211296440034</v>
      </c>
      <c r="E114" s="7">
        <v>0.17574036681547311</v>
      </c>
      <c r="F114" s="8">
        <f t="shared" si="3"/>
        <v>297</v>
      </c>
      <c r="G114" s="8">
        <f t="shared" si="4"/>
        <v>292</v>
      </c>
      <c r="H114" s="8">
        <f t="shared" si="5"/>
        <v>52</v>
      </c>
      <c r="I114" s="4">
        <v>149</v>
      </c>
    </row>
    <row r="115" spans="1:9" x14ac:dyDescent="0.35">
      <c r="A115" s="2" t="s">
        <v>367</v>
      </c>
      <c r="B115" s="2" t="s">
        <v>349</v>
      </c>
      <c r="C115" s="5">
        <v>1337</v>
      </c>
      <c r="D115" s="6">
        <v>-1.9456524071996488</v>
      </c>
      <c r="E115" s="7">
        <v>0.40646812848095148</v>
      </c>
      <c r="F115" s="8">
        <f t="shared" si="3"/>
        <v>345</v>
      </c>
      <c r="G115" s="8">
        <f t="shared" si="4"/>
        <v>390</v>
      </c>
      <c r="H115" s="8">
        <f t="shared" si="5"/>
        <v>4</v>
      </c>
      <c r="I115" s="4">
        <v>149.4</v>
      </c>
    </row>
    <row r="116" spans="1:9" x14ac:dyDescent="0.35">
      <c r="A116" s="2" t="s">
        <v>175</v>
      </c>
      <c r="B116" s="2" t="s">
        <v>147</v>
      </c>
      <c r="C116" s="5">
        <v>3891</v>
      </c>
      <c r="D116" s="6">
        <v>0.5671247198780377</v>
      </c>
      <c r="E116" s="7">
        <v>0.12795959735836915</v>
      </c>
      <c r="F116" s="8">
        <f t="shared" si="3"/>
        <v>198</v>
      </c>
      <c r="G116" s="8">
        <f t="shared" si="4"/>
        <v>241</v>
      </c>
      <c r="H116" s="8">
        <f t="shared" si="5"/>
        <v>104</v>
      </c>
      <c r="I116" s="4">
        <v>150.20000000000002</v>
      </c>
    </row>
    <row r="117" spans="1:9" x14ac:dyDescent="0.35">
      <c r="A117" s="2" t="s">
        <v>377</v>
      </c>
      <c r="B117" s="2" t="s">
        <v>372</v>
      </c>
      <c r="C117" s="5">
        <v>9646</v>
      </c>
      <c r="D117" s="6">
        <v>2.5195276298730196</v>
      </c>
      <c r="E117" s="7">
        <v>5.1550337929600953E-2</v>
      </c>
      <c r="F117" s="8">
        <f t="shared" si="3"/>
        <v>95</v>
      </c>
      <c r="G117" s="8">
        <f t="shared" si="4"/>
        <v>58</v>
      </c>
      <c r="H117" s="8">
        <f t="shared" si="5"/>
        <v>201</v>
      </c>
      <c r="I117" s="4">
        <v>151.19999999999999</v>
      </c>
    </row>
    <row r="118" spans="1:9" x14ac:dyDescent="0.35">
      <c r="A118" s="2" t="s">
        <v>164</v>
      </c>
      <c r="B118" s="2" t="s">
        <v>147</v>
      </c>
      <c r="C118" s="5">
        <v>2950</v>
      </c>
      <c r="D118" s="6">
        <v>0.68392924442283143</v>
      </c>
      <c r="E118" s="7">
        <v>0.1282542112431666</v>
      </c>
      <c r="F118" s="8">
        <f t="shared" si="3"/>
        <v>232</v>
      </c>
      <c r="G118" s="8">
        <f t="shared" si="4"/>
        <v>221</v>
      </c>
      <c r="H118" s="8">
        <f t="shared" si="5"/>
        <v>102</v>
      </c>
      <c r="I118" s="4">
        <v>151.80000000000001</v>
      </c>
    </row>
    <row r="119" spans="1:9" x14ac:dyDescent="0.35">
      <c r="A119" s="2" t="s">
        <v>418</v>
      </c>
      <c r="B119" s="2" t="s">
        <v>409</v>
      </c>
      <c r="C119" s="5">
        <v>32041</v>
      </c>
      <c r="D119" s="6">
        <v>4.2155993785180801</v>
      </c>
      <c r="E119" s="7">
        <v>3.2530816635282456E-2</v>
      </c>
      <c r="F119" s="8">
        <f t="shared" si="3"/>
        <v>33</v>
      </c>
      <c r="G119" s="8">
        <f t="shared" si="4"/>
        <v>31</v>
      </c>
      <c r="H119" s="8">
        <f t="shared" si="5"/>
        <v>232</v>
      </c>
      <c r="I119" s="4">
        <v>152</v>
      </c>
    </row>
    <row r="120" spans="1:9" x14ac:dyDescent="0.35">
      <c r="A120" s="2" t="s">
        <v>8</v>
      </c>
      <c r="B120" s="2" t="s">
        <v>9</v>
      </c>
      <c r="C120" s="5">
        <v>18655</v>
      </c>
      <c r="D120" s="6">
        <v>-0.85483198317919284</v>
      </c>
      <c r="E120" s="7">
        <v>0.1170450895509092</v>
      </c>
      <c r="F120" s="8">
        <f t="shared" si="3"/>
        <v>56</v>
      </c>
      <c r="G120" s="8">
        <f t="shared" si="4"/>
        <v>369</v>
      </c>
      <c r="H120" s="8">
        <f t="shared" si="5"/>
        <v>112</v>
      </c>
      <c r="I120" s="4">
        <v>152.19999999999999</v>
      </c>
    </row>
    <row r="121" spans="1:9" x14ac:dyDescent="0.35">
      <c r="A121" s="2" t="s">
        <v>129</v>
      </c>
      <c r="B121" s="2" t="s">
        <v>117</v>
      </c>
      <c r="C121" s="5">
        <v>6150</v>
      </c>
      <c r="D121" s="6">
        <v>0.64479677741181618</v>
      </c>
      <c r="E121" s="7">
        <v>0.10147541009059435</v>
      </c>
      <c r="F121" s="8">
        <f t="shared" si="3"/>
        <v>136</v>
      </c>
      <c r="G121" s="8">
        <f t="shared" si="4"/>
        <v>230</v>
      </c>
      <c r="H121" s="8">
        <f t="shared" si="5"/>
        <v>133</v>
      </c>
      <c r="I121" s="4">
        <v>153</v>
      </c>
    </row>
    <row r="122" spans="1:9" x14ac:dyDescent="0.35">
      <c r="A122" s="2" t="s">
        <v>324</v>
      </c>
      <c r="B122" s="2" t="s">
        <v>310</v>
      </c>
      <c r="C122" s="5">
        <v>3442</v>
      </c>
      <c r="D122" s="6">
        <v>11.210348563053591</v>
      </c>
      <c r="E122" s="7">
        <v>6.8580669890784263E-2</v>
      </c>
      <c r="F122" s="8">
        <f t="shared" si="3"/>
        <v>213</v>
      </c>
      <c r="G122" s="8">
        <f t="shared" si="4"/>
        <v>2</v>
      </c>
      <c r="H122" s="8">
        <f t="shared" si="5"/>
        <v>185</v>
      </c>
      <c r="I122" s="4">
        <v>154</v>
      </c>
    </row>
    <row r="123" spans="1:9" x14ac:dyDescent="0.35">
      <c r="A123" s="2" t="s">
        <v>236</v>
      </c>
      <c r="B123" s="2" t="s">
        <v>235</v>
      </c>
      <c r="C123" s="5">
        <v>9714</v>
      </c>
      <c r="D123" s="6">
        <v>0.61747820220147687</v>
      </c>
      <c r="E123" s="7">
        <v>9.3516577563316439E-2</v>
      </c>
      <c r="F123" s="8">
        <f t="shared" si="3"/>
        <v>93</v>
      </c>
      <c r="G123" s="8">
        <f t="shared" si="4"/>
        <v>234</v>
      </c>
      <c r="H123" s="8">
        <f t="shared" si="5"/>
        <v>149</v>
      </c>
      <c r="I123" s="4">
        <v>154.80000000000001</v>
      </c>
    </row>
    <row r="124" spans="1:9" x14ac:dyDescent="0.35">
      <c r="A124" s="2" t="s">
        <v>12</v>
      </c>
      <c r="B124" s="2" t="s">
        <v>9</v>
      </c>
      <c r="C124" s="5">
        <v>3976</v>
      </c>
      <c r="D124" s="6">
        <v>0.78929517765202184</v>
      </c>
      <c r="E124" s="7">
        <v>0.10624192903478114</v>
      </c>
      <c r="F124" s="8">
        <f t="shared" si="3"/>
        <v>194</v>
      </c>
      <c r="G124" s="8">
        <f t="shared" si="4"/>
        <v>209</v>
      </c>
      <c r="H124" s="8">
        <f t="shared" si="5"/>
        <v>124</v>
      </c>
      <c r="I124" s="4">
        <v>155</v>
      </c>
    </row>
    <row r="125" spans="1:9" x14ac:dyDescent="0.35">
      <c r="A125" s="2" t="s">
        <v>89</v>
      </c>
      <c r="B125" s="2" t="s">
        <v>84</v>
      </c>
      <c r="C125" s="5">
        <v>1808</v>
      </c>
      <c r="D125" s="6">
        <v>0.98573704151307862</v>
      </c>
      <c r="E125" s="7">
        <v>0.13283224608474176</v>
      </c>
      <c r="F125" s="8">
        <f t="shared" si="3"/>
        <v>303</v>
      </c>
      <c r="G125" s="8">
        <f t="shared" si="4"/>
        <v>181</v>
      </c>
      <c r="H125" s="8">
        <f t="shared" si="5"/>
        <v>97</v>
      </c>
      <c r="I125" s="4">
        <v>155</v>
      </c>
    </row>
    <row r="126" spans="1:9" x14ac:dyDescent="0.35">
      <c r="A126" s="2" t="s">
        <v>366</v>
      </c>
      <c r="B126" s="2" t="s">
        <v>349</v>
      </c>
      <c r="C126" s="5">
        <v>1752</v>
      </c>
      <c r="D126" s="6">
        <v>-0.53400301449852461</v>
      </c>
      <c r="E126" s="7">
        <v>0.20162819394910536</v>
      </c>
      <c r="F126" s="8">
        <f t="shared" si="3"/>
        <v>310</v>
      </c>
      <c r="G126" s="8">
        <f t="shared" si="4"/>
        <v>352</v>
      </c>
      <c r="H126" s="8">
        <f t="shared" si="5"/>
        <v>38</v>
      </c>
      <c r="I126" s="4">
        <v>155.20000000000002</v>
      </c>
    </row>
    <row r="127" spans="1:9" x14ac:dyDescent="0.35">
      <c r="A127" s="2" t="s">
        <v>103</v>
      </c>
      <c r="B127" s="2" t="s">
        <v>94</v>
      </c>
      <c r="C127" s="5">
        <v>10233</v>
      </c>
      <c r="D127" s="6">
        <v>1.6801632177825354</v>
      </c>
      <c r="E127" s="7">
        <v>6.2458158646886197E-2</v>
      </c>
      <c r="F127" s="8">
        <f t="shared" si="3"/>
        <v>91</v>
      </c>
      <c r="G127" s="8">
        <f t="shared" si="4"/>
        <v>116</v>
      </c>
      <c r="H127" s="8">
        <f t="shared" si="5"/>
        <v>192</v>
      </c>
      <c r="I127" s="4">
        <v>156.6</v>
      </c>
    </row>
    <row r="128" spans="1:9" x14ac:dyDescent="0.35">
      <c r="A128" s="2" t="s">
        <v>83</v>
      </c>
      <c r="B128" s="2" t="s">
        <v>84</v>
      </c>
      <c r="C128" s="5">
        <v>3693</v>
      </c>
      <c r="D128" s="6">
        <v>-0.95479506580427032</v>
      </c>
      <c r="E128" s="7">
        <v>0.15755893345639493</v>
      </c>
      <c r="F128" s="8">
        <f t="shared" si="3"/>
        <v>206</v>
      </c>
      <c r="G128" s="8">
        <f t="shared" si="4"/>
        <v>374</v>
      </c>
      <c r="H128" s="8">
        <f t="shared" si="5"/>
        <v>68</v>
      </c>
      <c r="I128" s="4">
        <v>156.80000000000001</v>
      </c>
    </row>
    <row r="129" spans="1:9" x14ac:dyDescent="0.35">
      <c r="A129" s="2" t="s">
        <v>348</v>
      </c>
      <c r="B129" s="2" t="s">
        <v>349</v>
      </c>
      <c r="C129" s="5">
        <v>1092</v>
      </c>
      <c r="D129" s="6">
        <v>-5.9836835049400028</v>
      </c>
      <c r="E129" s="7">
        <v>0.63460046945928705</v>
      </c>
      <c r="F129" s="8">
        <f t="shared" si="3"/>
        <v>381</v>
      </c>
      <c r="G129" s="8">
        <f t="shared" si="4"/>
        <v>402</v>
      </c>
      <c r="H129" s="8">
        <f t="shared" si="5"/>
        <v>1</v>
      </c>
      <c r="I129" s="4">
        <v>157.20000000000002</v>
      </c>
    </row>
    <row r="130" spans="1:9" x14ac:dyDescent="0.35">
      <c r="A130" s="2" t="s">
        <v>382</v>
      </c>
      <c r="B130" s="2" t="s">
        <v>372</v>
      </c>
      <c r="C130" s="5">
        <v>44514</v>
      </c>
      <c r="D130" s="6">
        <v>2.458454479514423</v>
      </c>
      <c r="E130" s="7">
        <v>3.0980070575244101E-2</v>
      </c>
      <c r="F130" s="8">
        <f t="shared" si="3"/>
        <v>23</v>
      </c>
      <c r="G130" s="8">
        <f t="shared" si="4"/>
        <v>59</v>
      </c>
      <c r="H130" s="8">
        <f t="shared" si="5"/>
        <v>235</v>
      </c>
      <c r="I130" s="4">
        <v>157.4</v>
      </c>
    </row>
    <row r="131" spans="1:9" x14ac:dyDescent="0.35">
      <c r="A131" s="2" t="s">
        <v>294</v>
      </c>
      <c r="B131" s="2" t="s">
        <v>283</v>
      </c>
      <c r="C131" s="5">
        <v>2187</v>
      </c>
      <c r="D131" s="6">
        <v>-0.9428492307741847</v>
      </c>
      <c r="E131" s="7">
        <v>0.17912553790624797</v>
      </c>
      <c r="F131" s="8">
        <f t="shared" ref="F131:F194" si="6">RANK(C131,$C$3:$C$404)</f>
        <v>272</v>
      </c>
      <c r="G131" s="8">
        <f t="shared" ref="G131:G194" si="7">RANK(D131,$D$3:$D$404)</f>
        <v>371</v>
      </c>
      <c r="H131" s="8">
        <f t="shared" ref="H131:H194" si="8">RANK(E131,$E$3:$E$404)</f>
        <v>49</v>
      </c>
      <c r="I131" s="4">
        <v>158.00000000000003</v>
      </c>
    </row>
    <row r="132" spans="1:9" x14ac:dyDescent="0.35">
      <c r="A132" s="2" t="s">
        <v>248</v>
      </c>
      <c r="B132" s="2" t="s">
        <v>235</v>
      </c>
      <c r="C132" s="5">
        <v>9387</v>
      </c>
      <c r="D132" s="6">
        <v>1.2901830829497529</v>
      </c>
      <c r="E132" s="7">
        <v>7.1325561505499957E-2</v>
      </c>
      <c r="F132" s="8">
        <f t="shared" si="6"/>
        <v>100</v>
      </c>
      <c r="G132" s="8">
        <f t="shared" si="7"/>
        <v>150</v>
      </c>
      <c r="H132" s="8">
        <f t="shared" si="8"/>
        <v>182</v>
      </c>
      <c r="I132" s="4">
        <v>159.19999999999999</v>
      </c>
    </row>
    <row r="133" spans="1:9" x14ac:dyDescent="0.35">
      <c r="A133" s="2" t="s">
        <v>114</v>
      </c>
      <c r="B133" s="2" t="s">
        <v>94</v>
      </c>
      <c r="C133" s="5">
        <v>37307</v>
      </c>
      <c r="D133" s="6">
        <v>0.80740508191560711</v>
      </c>
      <c r="E133" s="7">
        <v>6.4011778312443202E-2</v>
      </c>
      <c r="F133" s="8">
        <f t="shared" si="6"/>
        <v>26</v>
      </c>
      <c r="G133" s="8">
        <f t="shared" si="7"/>
        <v>205</v>
      </c>
      <c r="H133" s="8">
        <f t="shared" si="8"/>
        <v>189</v>
      </c>
      <c r="I133" s="4">
        <v>159.6</v>
      </c>
    </row>
    <row r="134" spans="1:9" x14ac:dyDescent="0.35">
      <c r="A134" s="2" t="s">
        <v>121</v>
      </c>
      <c r="B134" s="2" t="s">
        <v>117</v>
      </c>
      <c r="C134" s="5">
        <v>15414</v>
      </c>
      <c r="D134" s="6">
        <v>0.2735119456070465</v>
      </c>
      <c r="E134" s="7">
        <v>9.2784225923258079E-2</v>
      </c>
      <c r="F134" s="8">
        <f t="shared" si="6"/>
        <v>64</v>
      </c>
      <c r="G134" s="8">
        <f t="shared" si="7"/>
        <v>278</v>
      </c>
      <c r="H134" s="8">
        <f t="shared" si="8"/>
        <v>152</v>
      </c>
      <c r="I134" s="4">
        <v>159.60000000000002</v>
      </c>
    </row>
    <row r="135" spans="1:9" x14ac:dyDescent="0.35">
      <c r="A135" s="2" t="s">
        <v>230</v>
      </c>
      <c r="B135" s="2" t="s">
        <v>147</v>
      </c>
      <c r="C135" s="5">
        <v>2994</v>
      </c>
      <c r="D135" s="6">
        <v>0.90360226785424047</v>
      </c>
      <c r="E135" s="7">
        <v>0.10531844551417646</v>
      </c>
      <c r="F135" s="8">
        <f t="shared" si="6"/>
        <v>231</v>
      </c>
      <c r="G135" s="8">
        <f t="shared" si="7"/>
        <v>187</v>
      </c>
      <c r="H135" s="8">
        <f t="shared" si="8"/>
        <v>127</v>
      </c>
      <c r="I135" s="4">
        <v>159.80000000000001</v>
      </c>
    </row>
    <row r="136" spans="1:9" x14ac:dyDescent="0.35">
      <c r="A136" s="2" t="s">
        <v>261</v>
      </c>
      <c r="B136" s="2" t="s">
        <v>258</v>
      </c>
      <c r="C136" s="5">
        <v>102148</v>
      </c>
      <c r="D136" s="6">
        <v>0.72318807245309435</v>
      </c>
      <c r="E136" s="7">
        <v>6.2156693323705436E-2</v>
      </c>
      <c r="F136" s="8">
        <f t="shared" si="6"/>
        <v>6</v>
      </c>
      <c r="G136" s="8">
        <f t="shared" si="7"/>
        <v>217</v>
      </c>
      <c r="H136" s="8">
        <f t="shared" si="8"/>
        <v>193</v>
      </c>
      <c r="I136" s="4">
        <v>160.4</v>
      </c>
    </row>
    <row r="137" spans="1:9" x14ac:dyDescent="0.35">
      <c r="A137" s="2" t="s">
        <v>53</v>
      </c>
      <c r="B137" s="2" t="s">
        <v>43</v>
      </c>
      <c r="C137" s="5">
        <v>1102</v>
      </c>
      <c r="D137" s="6">
        <v>1.9087939152152842</v>
      </c>
      <c r="E137" s="7">
        <v>0.12094669310207196</v>
      </c>
      <c r="F137" s="8">
        <f t="shared" si="6"/>
        <v>377</v>
      </c>
      <c r="G137" s="8">
        <f t="shared" si="7"/>
        <v>97</v>
      </c>
      <c r="H137" s="8">
        <f t="shared" si="8"/>
        <v>110</v>
      </c>
      <c r="I137" s="4">
        <v>160.80000000000001</v>
      </c>
    </row>
    <row r="138" spans="1:9" x14ac:dyDescent="0.35">
      <c r="A138" s="2" t="s">
        <v>345</v>
      </c>
      <c r="B138" s="2" t="s">
        <v>328</v>
      </c>
      <c r="C138" s="5">
        <v>9546</v>
      </c>
      <c r="D138" s="6">
        <v>1.0562837536624958</v>
      </c>
      <c r="E138" s="7">
        <v>7.3701663864991218E-2</v>
      </c>
      <c r="F138" s="8">
        <f t="shared" si="6"/>
        <v>98</v>
      </c>
      <c r="G138" s="8">
        <f t="shared" si="7"/>
        <v>175</v>
      </c>
      <c r="H138" s="8">
        <f t="shared" si="8"/>
        <v>177</v>
      </c>
      <c r="I138" s="4">
        <v>160.80000000000001</v>
      </c>
    </row>
    <row r="139" spans="1:9" x14ac:dyDescent="0.35">
      <c r="A139" s="2" t="s">
        <v>150</v>
      </c>
      <c r="B139" s="2" t="s">
        <v>147</v>
      </c>
      <c r="C139" s="5">
        <v>4252</v>
      </c>
      <c r="D139" s="6">
        <v>4.8159989612436691</v>
      </c>
      <c r="E139" s="7">
        <v>5.3296806645587003E-2</v>
      </c>
      <c r="F139" s="8">
        <f t="shared" si="6"/>
        <v>186</v>
      </c>
      <c r="G139" s="8">
        <f t="shared" si="7"/>
        <v>25</v>
      </c>
      <c r="H139" s="8">
        <f t="shared" si="8"/>
        <v>199</v>
      </c>
      <c r="I139" s="4">
        <v>161.6</v>
      </c>
    </row>
    <row r="140" spans="1:9" x14ac:dyDescent="0.35">
      <c r="A140" s="2" t="s">
        <v>215</v>
      </c>
      <c r="B140" s="2" t="s">
        <v>147</v>
      </c>
      <c r="C140" s="5">
        <v>5193</v>
      </c>
      <c r="D140" s="6">
        <v>0.86001126795594662</v>
      </c>
      <c r="E140" s="7">
        <v>8.9317701785154524E-2</v>
      </c>
      <c r="F140" s="8">
        <f t="shared" si="6"/>
        <v>152</v>
      </c>
      <c r="G140" s="8">
        <f t="shared" si="7"/>
        <v>192</v>
      </c>
      <c r="H140" s="8">
        <f t="shared" si="8"/>
        <v>157</v>
      </c>
      <c r="I140" s="4">
        <v>163</v>
      </c>
    </row>
    <row r="141" spans="1:9" x14ac:dyDescent="0.35">
      <c r="A141" s="2" t="s">
        <v>415</v>
      </c>
      <c r="B141" s="2" t="s">
        <v>409</v>
      </c>
      <c r="C141" s="5">
        <v>6629</v>
      </c>
      <c r="D141" s="6">
        <v>3.0469575743081068</v>
      </c>
      <c r="E141" s="7">
        <v>4.5703727263905813E-2</v>
      </c>
      <c r="F141" s="8">
        <f t="shared" si="6"/>
        <v>125</v>
      </c>
      <c r="G141" s="8">
        <f t="shared" si="7"/>
        <v>45</v>
      </c>
      <c r="H141" s="8">
        <f t="shared" si="8"/>
        <v>215</v>
      </c>
      <c r="I141" s="4">
        <v>163</v>
      </c>
    </row>
    <row r="142" spans="1:9" x14ac:dyDescent="0.35">
      <c r="A142" s="2" t="s">
        <v>58</v>
      </c>
      <c r="B142" s="2" t="s">
        <v>43</v>
      </c>
      <c r="C142" s="5">
        <v>4404</v>
      </c>
      <c r="D142" s="6">
        <v>0.32657065431965826</v>
      </c>
      <c r="E142" s="7">
        <v>0.10626168459816343</v>
      </c>
      <c r="F142" s="8">
        <f t="shared" si="6"/>
        <v>179</v>
      </c>
      <c r="G142" s="8">
        <f t="shared" si="7"/>
        <v>270</v>
      </c>
      <c r="H142" s="8">
        <f t="shared" si="8"/>
        <v>123</v>
      </c>
      <c r="I142" s="4">
        <v>163.60000000000002</v>
      </c>
    </row>
    <row r="143" spans="1:9" x14ac:dyDescent="0.35">
      <c r="A143" s="2" t="s">
        <v>238</v>
      </c>
      <c r="B143" s="2" t="s">
        <v>235</v>
      </c>
      <c r="C143" s="5">
        <v>1005</v>
      </c>
      <c r="D143" s="6">
        <v>0.41351989758076829</v>
      </c>
      <c r="E143" s="7">
        <v>0.16877390893941246</v>
      </c>
      <c r="F143" s="8">
        <f t="shared" si="6"/>
        <v>386</v>
      </c>
      <c r="G143" s="8">
        <f t="shared" si="7"/>
        <v>259</v>
      </c>
      <c r="H143" s="8">
        <f t="shared" si="8"/>
        <v>58</v>
      </c>
      <c r="I143" s="4">
        <v>163.80000000000001</v>
      </c>
    </row>
    <row r="144" spans="1:9" x14ac:dyDescent="0.35">
      <c r="A144" s="2" t="s">
        <v>128</v>
      </c>
      <c r="B144" s="2" t="s">
        <v>117</v>
      </c>
      <c r="C144" s="5">
        <v>1815</v>
      </c>
      <c r="D144" s="6">
        <v>2.9992955737219757</v>
      </c>
      <c r="E144" s="7">
        <v>8.755559371077748E-2</v>
      </c>
      <c r="F144" s="8">
        <f t="shared" si="6"/>
        <v>301</v>
      </c>
      <c r="G144" s="8">
        <f t="shared" si="7"/>
        <v>46</v>
      </c>
      <c r="H144" s="8">
        <f t="shared" si="8"/>
        <v>160</v>
      </c>
      <c r="I144" s="4">
        <v>165.4</v>
      </c>
    </row>
    <row r="145" spans="1:9" x14ac:dyDescent="0.35">
      <c r="A145" s="2" t="s">
        <v>75</v>
      </c>
      <c r="B145" s="2" t="s">
        <v>61</v>
      </c>
      <c r="C145" s="5">
        <v>1976</v>
      </c>
      <c r="D145" s="6">
        <v>0.39432599441539951</v>
      </c>
      <c r="E145" s="7">
        <v>0.13546138659157414</v>
      </c>
      <c r="F145" s="8">
        <f t="shared" si="6"/>
        <v>289</v>
      </c>
      <c r="G145" s="8">
        <f t="shared" si="7"/>
        <v>260</v>
      </c>
      <c r="H145" s="8">
        <f t="shared" si="8"/>
        <v>94</v>
      </c>
      <c r="I145" s="4">
        <v>166.20000000000002</v>
      </c>
    </row>
    <row r="146" spans="1:9" x14ac:dyDescent="0.35">
      <c r="A146" s="2" t="s">
        <v>214</v>
      </c>
      <c r="B146" s="2" t="s">
        <v>147</v>
      </c>
      <c r="C146" s="5">
        <v>2060</v>
      </c>
      <c r="D146" s="6">
        <v>2.2493919026847697</v>
      </c>
      <c r="E146" s="7">
        <v>8.8255245119685188E-2</v>
      </c>
      <c r="F146" s="8">
        <f t="shared" si="6"/>
        <v>284</v>
      </c>
      <c r="G146" s="8">
        <f t="shared" si="7"/>
        <v>71</v>
      </c>
      <c r="H146" s="8">
        <f t="shared" si="8"/>
        <v>159</v>
      </c>
      <c r="I146" s="4">
        <v>166.39999999999998</v>
      </c>
    </row>
    <row r="147" spans="1:9" x14ac:dyDescent="0.35">
      <c r="A147" s="2" t="s">
        <v>293</v>
      </c>
      <c r="B147" s="2" t="s">
        <v>283</v>
      </c>
      <c r="C147" s="5">
        <v>10978</v>
      </c>
      <c r="D147" s="6">
        <v>5.213365953252605E-2</v>
      </c>
      <c r="E147" s="7">
        <v>9.3819376556641521E-2</v>
      </c>
      <c r="F147" s="8">
        <f t="shared" si="6"/>
        <v>86</v>
      </c>
      <c r="G147" s="8">
        <f t="shared" si="7"/>
        <v>304</v>
      </c>
      <c r="H147" s="8">
        <f t="shared" si="8"/>
        <v>148</v>
      </c>
      <c r="I147" s="4">
        <v>166.8</v>
      </c>
    </row>
    <row r="148" spans="1:9" x14ac:dyDescent="0.35">
      <c r="A148" s="2" t="s">
        <v>213</v>
      </c>
      <c r="B148" s="2" t="s">
        <v>147</v>
      </c>
      <c r="C148" s="5">
        <v>6511</v>
      </c>
      <c r="D148" s="6">
        <v>0.67481127079163039</v>
      </c>
      <c r="E148" s="7">
        <v>8.4348445025747898E-2</v>
      </c>
      <c r="F148" s="8">
        <f t="shared" si="6"/>
        <v>126</v>
      </c>
      <c r="G148" s="8">
        <f t="shared" si="7"/>
        <v>225</v>
      </c>
      <c r="H148" s="8">
        <f t="shared" si="8"/>
        <v>162</v>
      </c>
      <c r="I148" s="4">
        <v>167.4</v>
      </c>
    </row>
    <row r="149" spans="1:9" x14ac:dyDescent="0.35">
      <c r="A149" s="2" t="s">
        <v>138</v>
      </c>
      <c r="B149" s="2" t="s">
        <v>117</v>
      </c>
      <c r="C149" s="5">
        <v>79717</v>
      </c>
      <c r="D149" s="6">
        <v>0.54411973202485486</v>
      </c>
      <c r="E149" s="7">
        <v>5.6036639866748228E-2</v>
      </c>
      <c r="F149" s="8">
        <f t="shared" si="6"/>
        <v>10</v>
      </c>
      <c r="G149" s="8">
        <f t="shared" si="7"/>
        <v>243</v>
      </c>
      <c r="H149" s="8">
        <f t="shared" si="8"/>
        <v>195</v>
      </c>
      <c r="I149" s="4">
        <v>167.6</v>
      </c>
    </row>
    <row r="150" spans="1:9" x14ac:dyDescent="0.35">
      <c r="A150" s="2" t="s">
        <v>417</v>
      </c>
      <c r="B150" s="2" t="s">
        <v>409</v>
      </c>
      <c r="C150" s="5">
        <v>13706</v>
      </c>
      <c r="D150" s="6">
        <v>3.749281607370162</v>
      </c>
      <c r="E150" s="7">
        <v>2.3713804644191372E-2</v>
      </c>
      <c r="F150" s="8">
        <f t="shared" si="6"/>
        <v>67</v>
      </c>
      <c r="G150" s="8">
        <f t="shared" si="7"/>
        <v>36</v>
      </c>
      <c r="H150" s="8">
        <f t="shared" si="8"/>
        <v>245</v>
      </c>
      <c r="I150" s="4">
        <v>167.6</v>
      </c>
    </row>
    <row r="151" spans="1:9" x14ac:dyDescent="0.35">
      <c r="A151" s="2" t="s">
        <v>107</v>
      </c>
      <c r="B151" s="2" t="s">
        <v>94</v>
      </c>
      <c r="C151" s="5">
        <v>161805</v>
      </c>
      <c r="D151" s="6">
        <v>0.85309970007145253</v>
      </c>
      <c r="E151" s="7">
        <v>4.6153261626782127E-2</v>
      </c>
      <c r="F151" s="8">
        <f t="shared" si="6"/>
        <v>1</v>
      </c>
      <c r="G151" s="8">
        <f t="shared" si="7"/>
        <v>195</v>
      </c>
      <c r="H151" s="8">
        <f t="shared" si="8"/>
        <v>214</v>
      </c>
      <c r="I151" s="4">
        <v>167.60000000000002</v>
      </c>
    </row>
    <row r="152" spans="1:9" x14ac:dyDescent="0.35">
      <c r="A152" s="2" t="s">
        <v>131</v>
      </c>
      <c r="B152" s="2" t="s">
        <v>117</v>
      </c>
      <c r="C152" s="5">
        <v>120392</v>
      </c>
      <c r="D152" s="6">
        <v>0.45247892154144498</v>
      </c>
      <c r="E152" s="7">
        <v>5.9672949605639847E-2</v>
      </c>
      <c r="F152" s="8">
        <f t="shared" si="6"/>
        <v>2</v>
      </c>
      <c r="G152" s="8">
        <f t="shared" si="7"/>
        <v>257</v>
      </c>
      <c r="H152" s="8">
        <f t="shared" si="8"/>
        <v>194</v>
      </c>
      <c r="I152" s="4">
        <v>168.2</v>
      </c>
    </row>
    <row r="153" spans="1:9" x14ac:dyDescent="0.35">
      <c r="A153" s="2" t="s">
        <v>177</v>
      </c>
      <c r="B153" s="2" t="s">
        <v>147</v>
      </c>
      <c r="C153" s="5">
        <v>1983</v>
      </c>
      <c r="D153" s="6">
        <v>8.6802882476221171E-2</v>
      </c>
      <c r="E153" s="7">
        <v>0.13964907453248987</v>
      </c>
      <c r="F153" s="8">
        <f t="shared" si="6"/>
        <v>288</v>
      </c>
      <c r="G153" s="8">
        <f t="shared" si="7"/>
        <v>301</v>
      </c>
      <c r="H153" s="8">
        <f t="shared" si="8"/>
        <v>87</v>
      </c>
      <c r="I153" s="4">
        <v>170</v>
      </c>
    </row>
    <row r="154" spans="1:9" x14ac:dyDescent="0.35">
      <c r="A154" s="2" t="s">
        <v>411</v>
      </c>
      <c r="B154" s="2" t="s">
        <v>409</v>
      </c>
      <c r="C154" s="5">
        <v>4976</v>
      </c>
      <c r="D154" s="6">
        <v>4.3682182329159325</v>
      </c>
      <c r="E154" s="7">
        <v>3.9905616668467259E-2</v>
      </c>
      <c r="F154" s="8">
        <f t="shared" si="6"/>
        <v>162</v>
      </c>
      <c r="G154" s="8">
        <f t="shared" si="7"/>
        <v>29</v>
      </c>
      <c r="H154" s="8">
        <f t="shared" si="8"/>
        <v>221</v>
      </c>
      <c r="I154" s="4">
        <v>170.8</v>
      </c>
    </row>
    <row r="155" spans="1:9" x14ac:dyDescent="0.35">
      <c r="A155" s="2" t="s">
        <v>95</v>
      </c>
      <c r="B155" s="2" t="s">
        <v>94</v>
      </c>
      <c r="C155" s="5">
        <v>5889</v>
      </c>
      <c r="D155" s="6">
        <v>0.6771175800189303</v>
      </c>
      <c r="E155" s="7">
        <v>8.4246238247643435E-2</v>
      </c>
      <c r="F155" s="8">
        <f t="shared" si="6"/>
        <v>143</v>
      </c>
      <c r="G155" s="8">
        <f t="shared" si="7"/>
        <v>224</v>
      </c>
      <c r="H155" s="8">
        <f t="shared" si="8"/>
        <v>163</v>
      </c>
      <c r="I155" s="4">
        <v>171.2</v>
      </c>
    </row>
    <row r="156" spans="1:9" x14ac:dyDescent="0.35">
      <c r="A156" s="2" t="s">
        <v>217</v>
      </c>
      <c r="B156" s="2" t="s">
        <v>147</v>
      </c>
      <c r="C156" s="5">
        <v>1967</v>
      </c>
      <c r="D156" s="6">
        <v>-0.44249225678303422</v>
      </c>
      <c r="E156" s="7">
        <v>0.15317851062987065</v>
      </c>
      <c r="F156" s="8">
        <f t="shared" si="6"/>
        <v>290</v>
      </c>
      <c r="G156" s="8">
        <f t="shared" si="7"/>
        <v>340</v>
      </c>
      <c r="H156" s="8">
        <f t="shared" si="8"/>
        <v>76</v>
      </c>
      <c r="I156" s="4">
        <v>171.6</v>
      </c>
    </row>
    <row r="157" spans="1:9" x14ac:dyDescent="0.35">
      <c r="A157" s="2" t="s">
        <v>223</v>
      </c>
      <c r="B157" s="2" t="s">
        <v>147</v>
      </c>
      <c r="C157" s="5">
        <v>1332</v>
      </c>
      <c r="D157" s="6">
        <v>4.8312151014213559E-2</v>
      </c>
      <c r="E157" s="7">
        <v>0.15731113045717415</v>
      </c>
      <c r="F157" s="8">
        <f t="shared" si="6"/>
        <v>346</v>
      </c>
      <c r="G157" s="8">
        <f t="shared" si="7"/>
        <v>305</v>
      </c>
      <c r="H157" s="8">
        <f t="shared" si="8"/>
        <v>69</v>
      </c>
      <c r="I157" s="4">
        <v>171.6</v>
      </c>
    </row>
    <row r="158" spans="1:9" x14ac:dyDescent="0.35">
      <c r="A158" s="2" t="s">
        <v>354</v>
      </c>
      <c r="B158" s="2" t="s">
        <v>349</v>
      </c>
      <c r="C158" s="5">
        <v>1618</v>
      </c>
      <c r="D158" s="6">
        <v>-2.8190669233312429</v>
      </c>
      <c r="E158" s="7">
        <v>0.17971770644569629</v>
      </c>
      <c r="F158" s="8">
        <f t="shared" si="6"/>
        <v>319</v>
      </c>
      <c r="G158" s="8">
        <f t="shared" si="7"/>
        <v>400</v>
      </c>
      <c r="H158" s="8">
        <f t="shared" si="8"/>
        <v>48</v>
      </c>
      <c r="I158" s="4">
        <v>172.60000000000002</v>
      </c>
    </row>
    <row r="159" spans="1:9" x14ac:dyDescent="0.35">
      <c r="A159" s="2" t="s">
        <v>155</v>
      </c>
      <c r="B159" s="2" t="s">
        <v>147</v>
      </c>
      <c r="C159" s="5">
        <v>3227</v>
      </c>
      <c r="D159" s="6">
        <v>-2.3692219994529702</v>
      </c>
      <c r="E159" s="7">
        <v>0.14558172339784026</v>
      </c>
      <c r="F159" s="8">
        <f t="shared" si="6"/>
        <v>222</v>
      </c>
      <c r="G159" s="8">
        <f t="shared" si="7"/>
        <v>399</v>
      </c>
      <c r="H159" s="8">
        <f t="shared" si="8"/>
        <v>81</v>
      </c>
      <c r="I159" s="4">
        <v>172.8</v>
      </c>
    </row>
    <row r="160" spans="1:9" x14ac:dyDescent="0.35">
      <c r="A160" s="2" t="s">
        <v>135</v>
      </c>
      <c r="B160" s="2" t="s">
        <v>117</v>
      </c>
      <c r="C160" s="5">
        <v>3397</v>
      </c>
      <c r="D160" s="6">
        <v>-8.5134277688238932E-2</v>
      </c>
      <c r="E160" s="7">
        <v>0.11639468620099858</v>
      </c>
      <c r="F160" s="8">
        <f t="shared" si="6"/>
        <v>216</v>
      </c>
      <c r="G160" s="8">
        <f t="shared" si="7"/>
        <v>311</v>
      </c>
      <c r="H160" s="8">
        <f t="shared" si="8"/>
        <v>114</v>
      </c>
      <c r="I160" s="4">
        <v>173.8</v>
      </c>
    </row>
    <row r="161" spans="1:9" x14ac:dyDescent="0.35">
      <c r="A161" s="2" t="s">
        <v>137</v>
      </c>
      <c r="B161" s="2" t="s">
        <v>117</v>
      </c>
      <c r="C161" s="5">
        <v>103431</v>
      </c>
      <c r="D161" s="6">
        <v>0.39116145859756346</v>
      </c>
      <c r="E161" s="7">
        <v>4.9330902451169223E-2</v>
      </c>
      <c r="F161" s="8">
        <f t="shared" si="6"/>
        <v>4</v>
      </c>
      <c r="G161" s="8">
        <f t="shared" si="7"/>
        <v>261</v>
      </c>
      <c r="H161" s="8">
        <f t="shared" si="8"/>
        <v>203</v>
      </c>
      <c r="I161" s="4">
        <v>174.8</v>
      </c>
    </row>
    <row r="162" spans="1:9" x14ac:dyDescent="0.35">
      <c r="A162" s="2" t="s">
        <v>191</v>
      </c>
      <c r="B162" s="2" t="s">
        <v>147</v>
      </c>
      <c r="C162" s="5">
        <v>1305</v>
      </c>
      <c r="D162" s="6">
        <v>0.65100711873410488</v>
      </c>
      <c r="E162" s="7">
        <v>0.12971127256120685</v>
      </c>
      <c r="F162" s="8">
        <f t="shared" si="6"/>
        <v>349</v>
      </c>
      <c r="G162" s="8">
        <f t="shared" si="7"/>
        <v>228</v>
      </c>
      <c r="H162" s="8">
        <f t="shared" si="8"/>
        <v>99</v>
      </c>
      <c r="I162" s="4">
        <v>174.8</v>
      </c>
    </row>
    <row r="163" spans="1:9" x14ac:dyDescent="0.35">
      <c r="A163" s="2" t="s">
        <v>239</v>
      </c>
      <c r="B163" s="2" t="s">
        <v>235</v>
      </c>
      <c r="C163" s="5">
        <v>3134</v>
      </c>
      <c r="D163" s="6">
        <v>1.627942200103186</v>
      </c>
      <c r="E163" s="7">
        <v>7.3810068315950161E-2</v>
      </c>
      <c r="F163" s="8">
        <f t="shared" si="6"/>
        <v>227</v>
      </c>
      <c r="G163" s="8">
        <f t="shared" si="7"/>
        <v>119</v>
      </c>
      <c r="H163" s="8">
        <f t="shared" si="8"/>
        <v>176</v>
      </c>
      <c r="I163" s="4">
        <v>174.8</v>
      </c>
    </row>
    <row r="164" spans="1:9" x14ac:dyDescent="0.35">
      <c r="A164" s="2" t="s">
        <v>99</v>
      </c>
      <c r="B164" s="2" t="s">
        <v>94</v>
      </c>
      <c r="C164" s="5">
        <v>30512</v>
      </c>
      <c r="D164" s="6">
        <v>1.4872548845757869</v>
      </c>
      <c r="E164" s="7">
        <v>2.9821218284483919E-2</v>
      </c>
      <c r="F164" s="8">
        <f t="shared" si="6"/>
        <v>34</v>
      </c>
      <c r="G164" s="8">
        <f t="shared" si="7"/>
        <v>133</v>
      </c>
      <c r="H164" s="8">
        <f t="shared" si="8"/>
        <v>236</v>
      </c>
      <c r="I164" s="4">
        <v>175</v>
      </c>
    </row>
    <row r="165" spans="1:9" x14ac:dyDescent="0.35">
      <c r="A165" s="2" t="s">
        <v>125</v>
      </c>
      <c r="B165" s="2" t="s">
        <v>117</v>
      </c>
      <c r="C165" s="5">
        <v>89277</v>
      </c>
      <c r="D165" s="6">
        <v>1.0405623699070576</v>
      </c>
      <c r="E165" s="7">
        <v>3.4206554337793849E-2</v>
      </c>
      <c r="F165" s="8">
        <f t="shared" si="6"/>
        <v>8</v>
      </c>
      <c r="G165" s="8">
        <f t="shared" si="7"/>
        <v>178</v>
      </c>
      <c r="H165" s="8">
        <f t="shared" si="8"/>
        <v>230</v>
      </c>
      <c r="I165" s="4">
        <v>175.2</v>
      </c>
    </row>
    <row r="166" spans="1:9" x14ac:dyDescent="0.35">
      <c r="A166" s="2" t="s">
        <v>385</v>
      </c>
      <c r="B166" s="2" t="s">
        <v>372</v>
      </c>
      <c r="C166" s="5">
        <v>12412</v>
      </c>
      <c r="D166" s="6">
        <v>1.4717397278747131</v>
      </c>
      <c r="E166" s="7">
        <v>3.923707076124372E-2</v>
      </c>
      <c r="F166" s="8">
        <f t="shared" si="6"/>
        <v>75</v>
      </c>
      <c r="G166" s="8">
        <f t="shared" si="7"/>
        <v>136</v>
      </c>
      <c r="H166" s="8">
        <f t="shared" si="8"/>
        <v>222</v>
      </c>
      <c r="I166" s="4">
        <v>175.39999999999998</v>
      </c>
    </row>
    <row r="167" spans="1:9" x14ac:dyDescent="0.35">
      <c r="A167" s="2" t="s">
        <v>303</v>
      </c>
      <c r="B167" s="2" t="s">
        <v>283</v>
      </c>
      <c r="C167" s="5">
        <v>27322</v>
      </c>
      <c r="D167" s="6">
        <v>-1.4737662982310684</v>
      </c>
      <c r="E167" s="7">
        <v>9.3036875502046756E-2</v>
      </c>
      <c r="F167" s="8">
        <f t="shared" si="6"/>
        <v>40</v>
      </c>
      <c r="G167" s="8">
        <f t="shared" si="7"/>
        <v>385</v>
      </c>
      <c r="H167" s="8">
        <f t="shared" si="8"/>
        <v>151</v>
      </c>
      <c r="I167" s="4">
        <v>175.6</v>
      </c>
    </row>
    <row r="168" spans="1:9" x14ac:dyDescent="0.35">
      <c r="A168" s="2" t="s">
        <v>364</v>
      </c>
      <c r="B168" s="2" t="s">
        <v>349</v>
      </c>
      <c r="C168" s="5">
        <v>5054</v>
      </c>
      <c r="D168" s="6">
        <v>8.6111406742523128E-2</v>
      </c>
      <c r="E168" s="7">
        <v>9.8505733045154642E-2</v>
      </c>
      <c r="F168" s="8">
        <f t="shared" si="6"/>
        <v>158</v>
      </c>
      <c r="G168" s="8">
        <f t="shared" si="7"/>
        <v>302</v>
      </c>
      <c r="H168" s="8">
        <f t="shared" si="8"/>
        <v>140</v>
      </c>
      <c r="I168" s="4">
        <v>176</v>
      </c>
    </row>
    <row r="169" spans="1:9" x14ac:dyDescent="0.35">
      <c r="A169" s="2" t="s">
        <v>49</v>
      </c>
      <c r="B169" s="2" t="s">
        <v>43</v>
      </c>
      <c r="C169" s="5">
        <v>1709</v>
      </c>
      <c r="D169" s="6">
        <v>-0.67653554967488228</v>
      </c>
      <c r="E169" s="7">
        <v>0.15570256288403028</v>
      </c>
      <c r="F169" s="8">
        <f t="shared" si="6"/>
        <v>312</v>
      </c>
      <c r="G169" s="8">
        <f t="shared" si="7"/>
        <v>357</v>
      </c>
      <c r="H169" s="8">
        <f t="shared" si="8"/>
        <v>71</v>
      </c>
      <c r="I169" s="4">
        <v>176.4</v>
      </c>
    </row>
    <row r="170" spans="1:9" x14ac:dyDescent="0.35">
      <c r="A170" s="2" t="s">
        <v>207</v>
      </c>
      <c r="B170" s="2" t="s">
        <v>147</v>
      </c>
      <c r="C170" s="5">
        <v>28712</v>
      </c>
      <c r="D170" s="6">
        <v>0.93823476566852015</v>
      </c>
      <c r="E170" s="7">
        <v>4.0306209573012231E-2</v>
      </c>
      <c r="F170" s="8">
        <f t="shared" si="6"/>
        <v>38</v>
      </c>
      <c r="G170" s="8">
        <f t="shared" si="7"/>
        <v>184</v>
      </c>
      <c r="H170" s="8">
        <f t="shared" si="8"/>
        <v>220</v>
      </c>
      <c r="I170" s="4">
        <v>176.4</v>
      </c>
    </row>
    <row r="171" spans="1:9" x14ac:dyDescent="0.35">
      <c r="A171" s="2" t="s">
        <v>306</v>
      </c>
      <c r="B171" s="2" t="s">
        <v>283</v>
      </c>
      <c r="C171" s="5">
        <v>10510</v>
      </c>
      <c r="D171" s="6">
        <v>-1.2561819807485435</v>
      </c>
      <c r="E171" s="7">
        <v>9.9676651826007934E-2</v>
      </c>
      <c r="F171" s="8">
        <f t="shared" si="6"/>
        <v>90</v>
      </c>
      <c r="G171" s="8">
        <f t="shared" si="7"/>
        <v>380</v>
      </c>
      <c r="H171" s="8">
        <f t="shared" si="8"/>
        <v>138</v>
      </c>
      <c r="I171" s="4">
        <v>176.8</v>
      </c>
    </row>
    <row r="172" spans="1:9" x14ac:dyDescent="0.35">
      <c r="A172" s="2" t="s">
        <v>92</v>
      </c>
      <c r="B172" s="2" t="s">
        <v>84</v>
      </c>
      <c r="C172" s="5">
        <v>2085</v>
      </c>
      <c r="D172" s="6">
        <v>5.9885062732971477</v>
      </c>
      <c r="E172" s="7">
        <v>5.544988800601125E-2</v>
      </c>
      <c r="F172" s="8">
        <f t="shared" si="6"/>
        <v>279</v>
      </c>
      <c r="G172" s="8">
        <f t="shared" si="7"/>
        <v>19</v>
      </c>
      <c r="H172" s="8">
        <f t="shared" si="8"/>
        <v>196</v>
      </c>
      <c r="I172" s="4">
        <v>177.2</v>
      </c>
    </row>
    <row r="173" spans="1:9" x14ac:dyDescent="0.35">
      <c r="A173" s="2" t="s">
        <v>414</v>
      </c>
      <c r="B173" s="2" t="s">
        <v>409</v>
      </c>
      <c r="C173" s="5">
        <v>18099</v>
      </c>
      <c r="D173" s="6">
        <v>2.5844217887477781</v>
      </c>
      <c r="E173" s="7">
        <v>1.3162712925784747E-2</v>
      </c>
      <c r="F173" s="8">
        <f t="shared" si="6"/>
        <v>58</v>
      </c>
      <c r="G173" s="8">
        <f t="shared" si="7"/>
        <v>57</v>
      </c>
      <c r="H173" s="8">
        <f t="shared" si="8"/>
        <v>257</v>
      </c>
      <c r="I173" s="4">
        <v>177.2</v>
      </c>
    </row>
    <row r="174" spans="1:9" x14ac:dyDescent="0.35">
      <c r="A174" s="2" t="s">
        <v>80</v>
      </c>
      <c r="B174" s="2" t="s">
        <v>61</v>
      </c>
      <c r="C174" s="5">
        <v>18836</v>
      </c>
      <c r="D174" s="6">
        <v>2.1808599706344816</v>
      </c>
      <c r="E174" s="7">
        <v>1.8275231165399086E-2</v>
      </c>
      <c r="F174" s="8">
        <f t="shared" si="6"/>
        <v>55</v>
      </c>
      <c r="G174" s="8">
        <f t="shared" si="7"/>
        <v>77</v>
      </c>
      <c r="H174" s="8">
        <f t="shared" si="8"/>
        <v>252</v>
      </c>
      <c r="I174" s="4">
        <v>177.6</v>
      </c>
    </row>
    <row r="175" spans="1:9" x14ac:dyDescent="0.35">
      <c r="A175" s="2" t="s">
        <v>205</v>
      </c>
      <c r="B175" s="2" t="s">
        <v>147</v>
      </c>
      <c r="C175" s="5">
        <v>4347</v>
      </c>
      <c r="D175" s="6">
        <v>-0.27615128179757642</v>
      </c>
      <c r="E175" s="7">
        <v>0.10620226438064728</v>
      </c>
      <c r="F175" s="8">
        <f t="shared" si="6"/>
        <v>182</v>
      </c>
      <c r="G175" s="8">
        <f t="shared" si="7"/>
        <v>332</v>
      </c>
      <c r="H175" s="8">
        <f t="shared" si="8"/>
        <v>125</v>
      </c>
      <c r="I175" s="4">
        <v>177.8</v>
      </c>
    </row>
    <row r="176" spans="1:9" x14ac:dyDescent="0.35">
      <c r="A176" s="2" t="s">
        <v>422</v>
      </c>
      <c r="B176" s="2" t="s">
        <v>409</v>
      </c>
      <c r="C176" s="5">
        <v>5115</v>
      </c>
      <c r="D176" s="6">
        <v>4.9041890356205178</v>
      </c>
      <c r="E176" s="7">
        <v>2.8100458598711686E-2</v>
      </c>
      <c r="F176" s="8">
        <f t="shared" si="6"/>
        <v>154</v>
      </c>
      <c r="G176" s="8">
        <f t="shared" si="7"/>
        <v>24</v>
      </c>
      <c r="H176" s="8">
        <f t="shared" si="8"/>
        <v>238</v>
      </c>
      <c r="I176" s="4">
        <v>178.39999999999998</v>
      </c>
    </row>
    <row r="177" spans="1:9" x14ac:dyDescent="0.35">
      <c r="A177" s="2" t="s">
        <v>403</v>
      </c>
      <c r="B177" s="2" t="s">
        <v>388</v>
      </c>
      <c r="C177" s="5">
        <v>6119</v>
      </c>
      <c r="D177" s="6">
        <v>0.37421708332741366</v>
      </c>
      <c r="E177" s="7">
        <v>8.3262331762692154E-2</v>
      </c>
      <c r="F177" s="8">
        <f t="shared" si="6"/>
        <v>137</v>
      </c>
      <c r="G177" s="8">
        <f t="shared" si="7"/>
        <v>262</v>
      </c>
      <c r="H177" s="8">
        <f t="shared" si="8"/>
        <v>165</v>
      </c>
      <c r="I177" s="4">
        <v>178.8</v>
      </c>
    </row>
    <row r="178" spans="1:9" x14ac:dyDescent="0.35">
      <c r="A178" s="2" t="s">
        <v>186</v>
      </c>
      <c r="B178" s="2" t="s">
        <v>147</v>
      </c>
      <c r="C178" s="5">
        <v>1006</v>
      </c>
      <c r="D178" s="6">
        <v>0.57941152818133912</v>
      </c>
      <c r="E178" s="7">
        <v>0.13770864047810782</v>
      </c>
      <c r="F178" s="8">
        <f t="shared" si="6"/>
        <v>385</v>
      </c>
      <c r="G178" s="8">
        <f t="shared" si="7"/>
        <v>238</v>
      </c>
      <c r="H178" s="8">
        <f t="shared" si="8"/>
        <v>92</v>
      </c>
      <c r="I178" s="4">
        <v>179.79999999999998</v>
      </c>
    </row>
    <row r="179" spans="1:9" x14ac:dyDescent="0.35">
      <c r="A179" s="2" t="s">
        <v>246</v>
      </c>
      <c r="B179" s="2" t="s">
        <v>235</v>
      </c>
      <c r="C179" s="5">
        <v>1795</v>
      </c>
      <c r="D179" s="6">
        <v>1.9618517207886683</v>
      </c>
      <c r="E179" s="7">
        <v>7.6555203078827461E-2</v>
      </c>
      <c r="F179" s="8">
        <f t="shared" si="6"/>
        <v>304</v>
      </c>
      <c r="G179" s="8">
        <f t="shared" si="7"/>
        <v>89</v>
      </c>
      <c r="H179" s="8">
        <f t="shared" si="8"/>
        <v>170</v>
      </c>
      <c r="I179" s="4">
        <v>180.60000000000002</v>
      </c>
    </row>
    <row r="180" spans="1:9" x14ac:dyDescent="0.35">
      <c r="A180" s="2" t="s">
        <v>113</v>
      </c>
      <c r="B180" s="2" t="s">
        <v>94</v>
      </c>
      <c r="C180" s="5">
        <v>43294</v>
      </c>
      <c r="D180" s="6">
        <v>0.83918412654363828</v>
      </c>
      <c r="E180" s="7">
        <v>3.6104635775075611E-2</v>
      </c>
      <c r="F180" s="8">
        <f t="shared" si="6"/>
        <v>24</v>
      </c>
      <c r="G180" s="8">
        <f t="shared" si="7"/>
        <v>199</v>
      </c>
      <c r="H180" s="8">
        <f t="shared" si="8"/>
        <v>227</v>
      </c>
      <c r="I180" s="4">
        <v>180.8</v>
      </c>
    </row>
    <row r="181" spans="1:9" x14ac:dyDescent="0.35">
      <c r="A181" s="2" t="s">
        <v>393</v>
      </c>
      <c r="B181" s="2" t="s">
        <v>388</v>
      </c>
      <c r="C181" s="5">
        <v>1416</v>
      </c>
      <c r="D181" s="6">
        <v>-0.16797566825005969</v>
      </c>
      <c r="E181" s="7">
        <v>0.14753539513319591</v>
      </c>
      <c r="F181" s="8">
        <f t="shared" si="6"/>
        <v>342</v>
      </c>
      <c r="G181" s="8">
        <f t="shared" si="7"/>
        <v>322</v>
      </c>
      <c r="H181" s="8">
        <f t="shared" si="8"/>
        <v>80</v>
      </c>
      <c r="I181" s="4">
        <v>180.8</v>
      </c>
    </row>
    <row r="182" spans="1:9" x14ac:dyDescent="0.35">
      <c r="A182" s="2" t="s">
        <v>79</v>
      </c>
      <c r="B182" s="2" t="s">
        <v>61</v>
      </c>
      <c r="C182" s="5">
        <v>4981</v>
      </c>
      <c r="D182" s="6">
        <v>4.2676692064791182E-2</v>
      </c>
      <c r="E182" s="7">
        <v>9.5472086561380065E-2</v>
      </c>
      <c r="F182" s="8">
        <f t="shared" si="6"/>
        <v>161</v>
      </c>
      <c r="G182" s="8">
        <f t="shared" si="7"/>
        <v>306</v>
      </c>
      <c r="H182" s="8">
        <f t="shared" si="8"/>
        <v>146</v>
      </c>
      <c r="I182" s="4">
        <v>181</v>
      </c>
    </row>
    <row r="183" spans="1:9" x14ac:dyDescent="0.35">
      <c r="A183" s="2" t="s">
        <v>370</v>
      </c>
      <c r="B183" s="2" t="s">
        <v>349</v>
      </c>
      <c r="C183" s="5">
        <v>1515</v>
      </c>
      <c r="D183" s="6">
        <v>0.6513184466844435</v>
      </c>
      <c r="E183" s="7">
        <v>0.11444911119922541</v>
      </c>
      <c r="F183" s="8">
        <f t="shared" si="6"/>
        <v>330</v>
      </c>
      <c r="G183" s="8">
        <f t="shared" si="7"/>
        <v>227</v>
      </c>
      <c r="H183" s="8">
        <f t="shared" si="8"/>
        <v>117</v>
      </c>
      <c r="I183" s="4">
        <v>181.60000000000002</v>
      </c>
    </row>
    <row r="184" spans="1:9" x14ac:dyDescent="0.35">
      <c r="A184" s="2" t="s">
        <v>335</v>
      </c>
      <c r="B184" s="2" t="s">
        <v>328</v>
      </c>
      <c r="C184" s="5">
        <v>26874</v>
      </c>
      <c r="D184" s="6">
        <v>-0.76424336351910749</v>
      </c>
      <c r="E184" s="7">
        <v>7.8236256752892475E-2</v>
      </c>
      <c r="F184" s="8">
        <f t="shared" si="6"/>
        <v>41</v>
      </c>
      <c r="G184" s="8">
        <f t="shared" si="7"/>
        <v>361</v>
      </c>
      <c r="H184" s="8">
        <f t="shared" si="8"/>
        <v>169</v>
      </c>
      <c r="I184" s="4">
        <v>181.8</v>
      </c>
    </row>
    <row r="185" spans="1:9" x14ac:dyDescent="0.35">
      <c r="A185" s="2" t="s">
        <v>312</v>
      </c>
      <c r="B185" s="2" t="s">
        <v>310</v>
      </c>
      <c r="C185" s="5">
        <v>1847</v>
      </c>
      <c r="D185" s="6">
        <v>9.0080818375817575</v>
      </c>
      <c r="E185" s="7">
        <v>4.9290262744272839E-2</v>
      </c>
      <c r="F185" s="8">
        <f t="shared" si="6"/>
        <v>296</v>
      </c>
      <c r="G185" s="8">
        <f t="shared" si="7"/>
        <v>10</v>
      </c>
      <c r="H185" s="8">
        <f t="shared" si="8"/>
        <v>204</v>
      </c>
      <c r="I185" s="4">
        <v>183.6</v>
      </c>
    </row>
    <row r="186" spans="1:9" x14ac:dyDescent="0.35">
      <c r="A186" s="2" t="s">
        <v>374</v>
      </c>
      <c r="B186" s="2" t="s">
        <v>372</v>
      </c>
      <c r="C186" s="5">
        <v>2326</v>
      </c>
      <c r="D186" s="6">
        <v>1.4801158074555529</v>
      </c>
      <c r="E186" s="7">
        <v>7.4155687955149485E-2</v>
      </c>
      <c r="F186" s="8">
        <f t="shared" si="6"/>
        <v>265</v>
      </c>
      <c r="G186" s="8">
        <f t="shared" si="7"/>
        <v>135</v>
      </c>
      <c r="H186" s="8">
        <f t="shared" si="8"/>
        <v>174</v>
      </c>
      <c r="I186" s="4">
        <v>184.39999999999998</v>
      </c>
    </row>
    <row r="187" spans="1:9" x14ac:dyDescent="0.35">
      <c r="A187" s="2" t="s">
        <v>308</v>
      </c>
      <c r="B187" s="2" t="s">
        <v>283</v>
      </c>
      <c r="C187" s="5">
        <v>1178</v>
      </c>
      <c r="D187" s="6">
        <v>-0.67058425438833813</v>
      </c>
      <c r="E187" s="7">
        <v>0.15978686381103691</v>
      </c>
      <c r="F187" s="8">
        <f t="shared" si="6"/>
        <v>368</v>
      </c>
      <c r="G187" s="8">
        <f t="shared" si="7"/>
        <v>356</v>
      </c>
      <c r="H187" s="8">
        <f t="shared" si="8"/>
        <v>66</v>
      </c>
      <c r="I187" s="4">
        <v>184.4</v>
      </c>
    </row>
    <row r="188" spans="1:9" x14ac:dyDescent="0.35">
      <c r="A188" s="2" t="s">
        <v>157</v>
      </c>
      <c r="B188" s="2" t="s">
        <v>147</v>
      </c>
      <c r="C188" s="5">
        <v>3854</v>
      </c>
      <c r="D188" s="6">
        <v>4.1955895609348541</v>
      </c>
      <c r="E188" s="7">
        <v>3.3124046444819255E-2</v>
      </c>
      <c r="F188" s="8">
        <f t="shared" si="6"/>
        <v>200</v>
      </c>
      <c r="G188" s="8">
        <f t="shared" si="7"/>
        <v>32</v>
      </c>
      <c r="H188" s="8">
        <f t="shared" si="8"/>
        <v>231</v>
      </c>
      <c r="I188" s="4">
        <v>185</v>
      </c>
    </row>
    <row r="189" spans="1:9" x14ac:dyDescent="0.35">
      <c r="A189" s="2" t="s">
        <v>59</v>
      </c>
      <c r="B189" s="2" t="s">
        <v>43</v>
      </c>
      <c r="C189" s="5">
        <v>1439</v>
      </c>
      <c r="D189" s="6">
        <v>-0.95239711025497376</v>
      </c>
      <c r="E189" s="7">
        <v>0.155306333982828</v>
      </c>
      <c r="F189" s="8">
        <f t="shared" si="6"/>
        <v>339</v>
      </c>
      <c r="G189" s="8">
        <f t="shared" si="7"/>
        <v>373</v>
      </c>
      <c r="H189" s="8">
        <f t="shared" si="8"/>
        <v>73</v>
      </c>
      <c r="I189" s="4">
        <v>186.2</v>
      </c>
    </row>
    <row r="190" spans="1:9" x14ac:dyDescent="0.35">
      <c r="A190" s="2" t="s">
        <v>180</v>
      </c>
      <c r="B190" s="2" t="s">
        <v>147</v>
      </c>
      <c r="C190" s="5">
        <v>858</v>
      </c>
      <c r="D190" s="6">
        <v>0.3686422476027873</v>
      </c>
      <c r="E190" s="7">
        <v>0.13873494329150571</v>
      </c>
      <c r="F190" s="8">
        <f t="shared" si="6"/>
        <v>399</v>
      </c>
      <c r="G190" s="8">
        <f t="shared" si="7"/>
        <v>265</v>
      </c>
      <c r="H190" s="8">
        <f t="shared" si="8"/>
        <v>89</v>
      </c>
      <c r="I190" s="4">
        <v>186.20000000000002</v>
      </c>
    </row>
    <row r="191" spans="1:9" x14ac:dyDescent="0.35">
      <c r="A191" s="2" t="s">
        <v>163</v>
      </c>
      <c r="B191" s="2" t="s">
        <v>147</v>
      </c>
      <c r="C191" s="5">
        <v>1508</v>
      </c>
      <c r="D191" s="6">
        <v>0.3516786485177878</v>
      </c>
      <c r="E191" s="7">
        <v>0.11677622382627795</v>
      </c>
      <c r="F191" s="8">
        <f t="shared" si="6"/>
        <v>332</v>
      </c>
      <c r="G191" s="8">
        <f t="shared" si="7"/>
        <v>267</v>
      </c>
      <c r="H191" s="8">
        <f t="shared" si="8"/>
        <v>113</v>
      </c>
      <c r="I191" s="4">
        <v>187.60000000000002</v>
      </c>
    </row>
    <row r="192" spans="1:9" x14ac:dyDescent="0.35">
      <c r="A192" s="2" t="s">
        <v>255</v>
      </c>
      <c r="B192" s="2" t="s">
        <v>235</v>
      </c>
      <c r="C192" s="5">
        <v>4410</v>
      </c>
      <c r="D192" s="6">
        <v>1.990543255731408</v>
      </c>
      <c r="E192" s="7">
        <v>3.7857346918656054E-2</v>
      </c>
      <c r="F192" s="8">
        <f t="shared" si="6"/>
        <v>178</v>
      </c>
      <c r="G192" s="8">
        <f t="shared" si="7"/>
        <v>86</v>
      </c>
      <c r="H192" s="8">
        <f t="shared" si="8"/>
        <v>225</v>
      </c>
      <c r="I192" s="4">
        <v>187.8</v>
      </c>
    </row>
    <row r="193" spans="1:9" x14ac:dyDescent="0.35">
      <c r="A193" s="2" t="s">
        <v>297</v>
      </c>
      <c r="B193" s="2" t="s">
        <v>283</v>
      </c>
      <c r="C193" s="5">
        <v>23387</v>
      </c>
      <c r="D193" s="6">
        <v>-0.5062640948038355</v>
      </c>
      <c r="E193" s="7">
        <v>6.9337574744846364E-2</v>
      </c>
      <c r="F193" s="8">
        <f t="shared" si="6"/>
        <v>43</v>
      </c>
      <c r="G193" s="8">
        <f t="shared" si="7"/>
        <v>348</v>
      </c>
      <c r="H193" s="8">
        <f t="shared" si="8"/>
        <v>184</v>
      </c>
      <c r="I193" s="4">
        <v>188.6</v>
      </c>
    </row>
    <row r="194" spans="1:9" x14ac:dyDescent="0.35">
      <c r="A194" s="2" t="s">
        <v>88</v>
      </c>
      <c r="B194" s="2" t="s">
        <v>84</v>
      </c>
      <c r="C194" s="5">
        <v>2396</v>
      </c>
      <c r="D194" s="6">
        <v>-0.21064635295449891</v>
      </c>
      <c r="E194" s="7">
        <v>0.11424032222317848</v>
      </c>
      <c r="F194" s="8">
        <f t="shared" si="6"/>
        <v>263</v>
      </c>
      <c r="G194" s="8">
        <f t="shared" si="7"/>
        <v>327</v>
      </c>
      <c r="H194" s="8">
        <f t="shared" si="8"/>
        <v>118</v>
      </c>
      <c r="I194" s="4">
        <v>188.8</v>
      </c>
    </row>
    <row r="195" spans="1:9" x14ac:dyDescent="0.35">
      <c r="A195" s="2" t="s">
        <v>282</v>
      </c>
      <c r="B195" s="2" t="s">
        <v>283</v>
      </c>
      <c r="C195" s="5">
        <v>13400</v>
      </c>
      <c r="D195" s="6">
        <v>-0.17773134522014969</v>
      </c>
      <c r="E195" s="7">
        <v>6.8106448919426965E-2</v>
      </c>
      <c r="F195" s="8">
        <f t="shared" ref="F195:F258" si="9">RANK(C195,$C$3:$C$404)</f>
        <v>70</v>
      </c>
      <c r="G195" s="8">
        <f t="shared" ref="G195:G258" si="10">RANK(D195,$D$3:$D$404)</f>
        <v>324</v>
      </c>
      <c r="H195" s="8">
        <f t="shared" ref="H195:H258" si="11">RANK(E195,$E$3:$E$404)</f>
        <v>186</v>
      </c>
      <c r="I195" s="4">
        <v>190.39999999999998</v>
      </c>
    </row>
    <row r="196" spans="1:9" x14ac:dyDescent="0.35">
      <c r="A196" s="2" t="s">
        <v>375</v>
      </c>
      <c r="B196" s="2" t="s">
        <v>372</v>
      </c>
      <c r="C196" s="5">
        <v>20250</v>
      </c>
      <c r="D196" s="6">
        <v>2.2249227039302135</v>
      </c>
      <c r="E196" s="7">
        <v>-6.5747123125469153E-3</v>
      </c>
      <c r="F196" s="8">
        <f t="shared" si="9"/>
        <v>51</v>
      </c>
      <c r="G196" s="8">
        <f t="shared" si="10"/>
        <v>72</v>
      </c>
      <c r="H196" s="8">
        <f t="shared" si="11"/>
        <v>279</v>
      </c>
      <c r="I196" s="4">
        <v>192</v>
      </c>
    </row>
    <row r="197" spans="1:9" x14ac:dyDescent="0.35">
      <c r="A197" s="2" t="s">
        <v>39</v>
      </c>
      <c r="B197" s="2" t="s">
        <v>24</v>
      </c>
      <c r="C197" s="5">
        <v>4874</v>
      </c>
      <c r="D197" s="6">
        <v>2.11721539330384</v>
      </c>
      <c r="E197" s="7">
        <v>2.6756165760339012E-2</v>
      </c>
      <c r="F197" s="8">
        <f t="shared" si="9"/>
        <v>164</v>
      </c>
      <c r="G197" s="8">
        <f t="shared" si="10"/>
        <v>79</v>
      </c>
      <c r="H197" s="8">
        <f t="shared" si="11"/>
        <v>240</v>
      </c>
      <c r="I197" s="4">
        <v>192.60000000000002</v>
      </c>
    </row>
    <row r="198" spans="1:9" x14ac:dyDescent="0.35">
      <c r="A198" s="2" t="s">
        <v>102</v>
      </c>
      <c r="B198" s="2" t="s">
        <v>94</v>
      </c>
      <c r="C198" s="5">
        <v>1152</v>
      </c>
      <c r="D198" s="6">
        <v>0.86047747349063552</v>
      </c>
      <c r="E198" s="7">
        <v>0.10122920390290613</v>
      </c>
      <c r="F198" s="8">
        <f t="shared" si="9"/>
        <v>371</v>
      </c>
      <c r="G198" s="8">
        <f t="shared" si="10"/>
        <v>191</v>
      </c>
      <c r="H198" s="8">
        <f t="shared" si="11"/>
        <v>134</v>
      </c>
      <c r="I198" s="4">
        <v>192.8</v>
      </c>
    </row>
    <row r="199" spans="1:9" x14ac:dyDescent="0.35">
      <c r="A199" s="2" t="s">
        <v>254</v>
      </c>
      <c r="B199" s="2" t="s">
        <v>235</v>
      </c>
      <c r="C199" s="5">
        <v>19996</v>
      </c>
      <c r="D199" s="6">
        <v>1.5781746310131459</v>
      </c>
      <c r="E199" s="7">
        <v>8.3793555243933948E-3</v>
      </c>
      <c r="F199" s="8">
        <f t="shared" si="9"/>
        <v>52</v>
      </c>
      <c r="G199" s="8">
        <f t="shared" si="10"/>
        <v>124</v>
      </c>
      <c r="H199" s="8">
        <f t="shared" si="11"/>
        <v>263</v>
      </c>
      <c r="I199" s="4">
        <v>193</v>
      </c>
    </row>
    <row r="200" spans="1:9" x14ac:dyDescent="0.35">
      <c r="A200" s="2" t="s">
        <v>17</v>
      </c>
      <c r="B200" s="2" t="s">
        <v>9</v>
      </c>
      <c r="C200" s="5">
        <v>2070</v>
      </c>
      <c r="D200" s="6">
        <v>0.85636263967952775</v>
      </c>
      <c r="E200" s="7">
        <v>8.3158514174955789E-2</v>
      </c>
      <c r="F200" s="8">
        <f t="shared" si="9"/>
        <v>281</v>
      </c>
      <c r="G200" s="8">
        <f t="shared" si="10"/>
        <v>193</v>
      </c>
      <c r="H200" s="8">
        <f t="shared" si="11"/>
        <v>166</v>
      </c>
      <c r="I200" s="4">
        <v>194.4</v>
      </c>
    </row>
    <row r="201" spans="1:9" x14ac:dyDescent="0.35">
      <c r="A201" s="2" t="s">
        <v>330</v>
      </c>
      <c r="B201" s="2" t="s">
        <v>328</v>
      </c>
      <c r="C201" s="5">
        <v>3992</v>
      </c>
      <c r="D201" s="6">
        <v>1.728498993835772</v>
      </c>
      <c r="E201" s="7">
        <v>3.8448118358882288E-2</v>
      </c>
      <c r="F201" s="8">
        <f t="shared" si="9"/>
        <v>193</v>
      </c>
      <c r="G201" s="8">
        <f t="shared" si="10"/>
        <v>110</v>
      </c>
      <c r="H201" s="8">
        <f t="shared" si="11"/>
        <v>224</v>
      </c>
      <c r="I201" s="4">
        <v>195</v>
      </c>
    </row>
    <row r="202" spans="1:9" x14ac:dyDescent="0.35">
      <c r="A202" s="2" t="s">
        <v>371</v>
      </c>
      <c r="B202" s="2" t="s">
        <v>372</v>
      </c>
      <c r="C202" s="5">
        <v>23275</v>
      </c>
      <c r="D202" s="6">
        <v>1.2553781642005406</v>
      </c>
      <c r="E202" s="7">
        <v>1.0735954722011165E-2</v>
      </c>
      <c r="F202" s="8">
        <f t="shared" si="9"/>
        <v>44</v>
      </c>
      <c r="G202" s="8">
        <f t="shared" si="10"/>
        <v>152</v>
      </c>
      <c r="H202" s="8">
        <f t="shared" si="11"/>
        <v>261</v>
      </c>
      <c r="I202" s="4">
        <v>195.8</v>
      </c>
    </row>
    <row r="203" spans="1:9" x14ac:dyDescent="0.35">
      <c r="A203" s="2" t="s">
        <v>253</v>
      </c>
      <c r="B203" s="2" t="s">
        <v>235</v>
      </c>
      <c r="C203" s="5">
        <v>2128</v>
      </c>
      <c r="D203" s="6">
        <v>1.7162610878769313</v>
      </c>
      <c r="E203" s="7">
        <v>5.420024776274146E-2</v>
      </c>
      <c r="F203" s="8">
        <f t="shared" si="9"/>
        <v>275</v>
      </c>
      <c r="G203" s="8">
        <f t="shared" si="10"/>
        <v>113</v>
      </c>
      <c r="H203" s="8">
        <f t="shared" si="11"/>
        <v>198</v>
      </c>
      <c r="I203" s="4">
        <v>196.39999999999998</v>
      </c>
    </row>
    <row r="204" spans="1:9" x14ac:dyDescent="0.35">
      <c r="A204" s="2" t="s">
        <v>333</v>
      </c>
      <c r="B204" s="2" t="s">
        <v>328</v>
      </c>
      <c r="C204" s="5">
        <v>3313</v>
      </c>
      <c r="D204" s="6">
        <v>1.6635601157238897</v>
      </c>
      <c r="E204" s="7">
        <v>4.4861682041073658E-2</v>
      </c>
      <c r="F204" s="8">
        <f t="shared" si="9"/>
        <v>220</v>
      </c>
      <c r="G204" s="8">
        <f t="shared" si="10"/>
        <v>118</v>
      </c>
      <c r="H204" s="8">
        <f t="shared" si="11"/>
        <v>217</v>
      </c>
      <c r="I204" s="4">
        <v>197.79999999999998</v>
      </c>
    </row>
    <row r="205" spans="1:9" x14ac:dyDescent="0.35">
      <c r="A205" s="2" t="s">
        <v>231</v>
      </c>
      <c r="B205" s="2" t="s">
        <v>232</v>
      </c>
      <c r="C205" s="5">
        <v>1229</v>
      </c>
      <c r="D205" s="6">
        <v>-2.2247859100308673</v>
      </c>
      <c r="E205" s="7">
        <v>0.14775334253580419</v>
      </c>
      <c r="F205" s="8">
        <f t="shared" si="9"/>
        <v>361</v>
      </c>
      <c r="G205" s="8">
        <f t="shared" si="10"/>
        <v>396</v>
      </c>
      <c r="H205" s="8">
        <f t="shared" si="11"/>
        <v>79</v>
      </c>
      <c r="I205" s="4">
        <v>198.8</v>
      </c>
    </row>
    <row r="206" spans="1:9" x14ac:dyDescent="0.35">
      <c r="A206" s="2" t="s">
        <v>402</v>
      </c>
      <c r="B206" s="2" t="s">
        <v>388</v>
      </c>
      <c r="C206" s="5">
        <v>6398</v>
      </c>
      <c r="D206" s="6">
        <v>-0.21338353974194607</v>
      </c>
      <c r="E206" s="7">
        <v>7.3203941311325904E-2</v>
      </c>
      <c r="F206" s="8">
        <f t="shared" si="9"/>
        <v>131</v>
      </c>
      <c r="G206" s="8">
        <f t="shared" si="10"/>
        <v>329</v>
      </c>
      <c r="H206" s="8">
        <f t="shared" si="11"/>
        <v>178</v>
      </c>
      <c r="I206" s="4">
        <v>198.8</v>
      </c>
    </row>
    <row r="207" spans="1:9" x14ac:dyDescent="0.35">
      <c r="A207" s="2" t="s">
        <v>54</v>
      </c>
      <c r="B207" s="2" t="s">
        <v>43</v>
      </c>
      <c r="C207" s="5">
        <v>6301</v>
      </c>
      <c r="D207" s="6">
        <v>0.6260614077367157</v>
      </c>
      <c r="E207" s="7">
        <v>4.8062597445648114E-2</v>
      </c>
      <c r="F207" s="8">
        <f t="shared" si="9"/>
        <v>132</v>
      </c>
      <c r="G207" s="8">
        <f t="shared" si="10"/>
        <v>233</v>
      </c>
      <c r="H207" s="8">
        <f t="shared" si="11"/>
        <v>210</v>
      </c>
      <c r="I207" s="4">
        <v>199</v>
      </c>
    </row>
    <row r="208" spans="1:9" x14ac:dyDescent="0.35">
      <c r="A208" s="2" t="s">
        <v>64</v>
      </c>
      <c r="B208" s="2" t="s">
        <v>61</v>
      </c>
      <c r="C208" s="5">
        <v>2560</v>
      </c>
      <c r="D208" s="6">
        <v>-1.1985697304344491E-3</v>
      </c>
      <c r="E208" s="7">
        <v>9.553914504964145E-2</v>
      </c>
      <c r="F208" s="8">
        <f t="shared" si="9"/>
        <v>253</v>
      </c>
      <c r="G208" s="8">
        <f t="shared" si="10"/>
        <v>309</v>
      </c>
      <c r="H208" s="8">
        <f t="shared" si="11"/>
        <v>145</v>
      </c>
      <c r="I208" s="4">
        <v>199.4</v>
      </c>
    </row>
    <row r="209" spans="1:9" x14ac:dyDescent="0.35">
      <c r="A209" s="2" t="s">
        <v>142</v>
      </c>
      <c r="B209" s="2" t="s">
        <v>117</v>
      </c>
      <c r="C209" s="5">
        <v>1320</v>
      </c>
      <c r="D209" s="6">
        <v>2.874528532915833</v>
      </c>
      <c r="E209" s="7">
        <v>5.2240274457395097E-2</v>
      </c>
      <c r="F209" s="8">
        <f t="shared" si="9"/>
        <v>347</v>
      </c>
      <c r="G209" s="8">
        <f t="shared" si="10"/>
        <v>50</v>
      </c>
      <c r="H209" s="8">
        <f t="shared" si="11"/>
        <v>200</v>
      </c>
      <c r="I209" s="4">
        <v>199.4</v>
      </c>
    </row>
    <row r="210" spans="1:9" x14ac:dyDescent="0.35">
      <c r="A210" s="2" t="s">
        <v>211</v>
      </c>
      <c r="B210" s="2" t="s">
        <v>147</v>
      </c>
      <c r="C210" s="5">
        <v>8805</v>
      </c>
      <c r="D210" s="6">
        <v>0.27260929645266335</v>
      </c>
      <c r="E210" s="7">
        <v>4.9078109631725209E-2</v>
      </c>
      <c r="F210" s="8">
        <f t="shared" si="9"/>
        <v>103</v>
      </c>
      <c r="G210" s="8">
        <f t="shared" si="10"/>
        <v>279</v>
      </c>
      <c r="H210" s="8">
        <f t="shared" si="11"/>
        <v>205</v>
      </c>
      <c r="I210" s="4">
        <v>199.4</v>
      </c>
    </row>
    <row r="211" spans="1:9" x14ac:dyDescent="0.35">
      <c r="A211" s="2" t="s">
        <v>305</v>
      </c>
      <c r="B211" s="2" t="s">
        <v>283</v>
      </c>
      <c r="C211" s="5">
        <v>8709</v>
      </c>
      <c r="D211" s="6">
        <v>1.9478609363195858</v>
      </c>
      <c r="E211" s="7">
        <v>6.4224898122420271E-3</v>
      </c>
      <c r="F211" s="8">
        <f t="shared" si="9"/>
        <v>104</v>
      </c>
      <c r="G211" s="8">
        <f t="shared" si="10"/>
        <v>92</v>
      </c>
      <c r="H211" s="8">
        <f t="shared" si="11"/>
        <v>268</v>
      </c>
      <c r="I211" s="4">
        <v>200</v>
      </c>
    </row>
    <row r="212" spans="1:9" x14ac:dyDescent="0.35">
      <c r="A212" s="2" t="s">
        <v>356</v>
      </c>
      <c r="B212" s="2" t="s">
        <v>349</v>
      </c>
      <c r="C212" s="5">
        <v>4833</v>
      </c>
      <c r="D212" s="6">
        <v>-2.0784871748207228</v>
      </c>
      <c r="E212" s="7">
        <v>9.5451189087232491E-2</v>
      </c>
      <c r="F212" s="8">
        <f t="shared" si="9"/>
        <v>165</v>
      </c>
      <c r="G212" s="8">
        <f t="shared" si="10"/>
        <v>394</v>
      </c>
      <c r="H212" s="8">
        <f t="shared" si="11"/>
        <v>147</v>
      </c>
      <c r="I212" s="4">
        <v>200</v>
      </c>
    </row>
    <row r="213" spans="1:9" x14ac:dyDescent="0.35">
      <c r="A213" s="2" t="s">
        <v>390</v>
      </c>
      <c r="B213" s="2" t="s">
        <v>388</v>
      </c>
      <c r="C213" s="5">
        <v>5081</v>
      </c>
      <c r="D213" s="6">
        <v>2.1648546134807263</v>
      </c>
      <c r="E213" s="7">
        <v>1.2730953394441524E-2</v>
      </c>
      <c r="F213" s="8">
        <f t="shared" si="9"/>
        <v>157</v>
      </c>
      <c r="G213" s="8">
        <f t="shared" si="10"/>
        <v>78</v>
      </c>
      <c r="H213" s="8">
        <f t="shared" si="11"/>
        <v>258</v>
      </c>
      <c r="I213" s="4">
        <v>201.79999999999998</v>
      </c>
    </row>
    <row r="214" spans="1:9" x14ac:dyDescent="0.35">
      <c r="A214" s="2" t="s">
        <v>247</v>
      </c>
      <c r="B214" s="2" t="s">
        <v>235</v>
      </c>
      <c r="C214" s="5">
        <v>7248</v>
      </c>
      <c r="D214" s="6">
        <v>-0.18524197948648932</v>
      </c>
      <c r="E214" s="7">
        <v>6.3741575668423867E-2</v>
      </c>
      <c r="F214" s="8">
        <f t="shared" si="9"/>
        <v>120</v>
      </c>
      <c r="G214" s="8">
        <f t="shared" si="10"/>
        <v>325</v>
      </c>
      <c r="H214" s="8">
        <f t="shared" si="11"/>
        <v>190</v>
      </c>
      <c r="I214" s="4">
        <v>203</v>
      </c>
    </row>
    <row r="215" spans="1:9" x14ac:dyDescent="0.35">
      <c r="A215" s="2" t="s">
        <v>234</v>
      </c>
      <c r="B215" s="2" t="s">
        <v>235</v>
      </c>
      <c r="C215" s="5">
        <v>2565</v>
      </c>
      <c r="D215" s="6">
        <v>0.47546704673706613</v>
      </c>
      <c r="E215" s="7">
        <v>7.5202664962322086E-2</v>
      </c>
      <c r="F215" s="8">
        <f t="shared" si="9"/>
        <v>252</v>
      </c>
      <c r="G215" s="8">
        <f t="shared" si="10"/>
        <v>251</v>
      </c>
      <c r="H215" s="8">
        <f t="shared" si="11"/>
        <v>172</v>
      </c>
      <c r="I215" s="4">
        <v>203.8</v>
      </c>
    </row>
    <row r="216" spans="1:9" x14ac:dyDescent="0.35">
      <c r="A216" s="2" t="s">
        <v>249</v>
      </c>
      <c r="B216" s="2" t="s">
        <v>235</v>
      </c>
      <c r="C216" s="5">
        <v>7642</v>
      </c>
      <c r="D216" s="6">
        <v>1.2898133876123834</v>
      </c>
      <c r="E216" s="7">
        <v>1.7683996604384022E-2</v>
      </c>
      <c r="F216" s="8">
        <f t="shared" si="9"/>
        <v>113</v>
      </c>
      <c r="G216" s="8">
        <f t="shared" si="10"/>
        <v>151</v>
      </c>
      <c r="H216" s="8">
        <f t="shared" si="11"/>
        <v>253</v>
      </c>
      <c r="I216" s="4">
        <v>204.6</v>
      </c>
    </row>
    <row r="217" spans="1:9" x14ac:dyDescent="0.35">
      <c r="A217" s="2" t="s">
        <v>10</v>
      </c>
      <c r="B217" s="2" t="s">
        <v>9</v>
      </c>
      <c r="C217" s="5">
        <v>6420</v>
      </c>
      <c r="D217" s="6">
        <v>1.1682493349612588</v>
      </c>
      <c r="E217" s="7">
        <v>2.4341094890247161E-2</v>
      </c>
      <c r="F217" s="8">
        <f t="shared" si="9"/>
        <v>129</v>
      </c>
      <c r="G217" s="8">
        <f t="shared" si="10"/>
        <v>163</v>
      </c>
      <c r="H217" s="8">
        <f t="shared" si="11"/>
        <v>244</v>
      </c>
      <c r="I217" s="4">
        <v>204.8</v>
      </c>
    </row>
    <row r="218" spans="1:9" x14ac:dyDescent="0.35">
      <c r="A218" s="2" t="s">
        <v>100</v>
      </c>
      <c r="B218" s="2" t="s">
        <v>94</v>
      </c>
      <c r="C218" s="5">
        <v>1692</v>
      </c>
      <c r="D218" s="6">
        <v>1.3401252038433502</v>
      </c>
      <c r="E218" s="7">
        <v>6.5626710226285745E-2</v>
      </c>
      <c r="F218" s="8">
        <f t="shared" si="9"/>
        <v>315</v>
      </c>
      <c r="G218" s="8">
        <f t="shared" si="10"/>
        <v>145</v>
      </c>
      <c r="H218" s="8">
        <f t="shared" si="11"/>
        <v>188</v>
      </c>
      <c r="I218" s="4">
        <v>204.8</v>
      </c>
    </row>
    <row r="219" spans="1:9" x14ac:dyDescent="0.35">
      <c r="A219" s="2" t="s">
        <v>13</v>
      </c>
      <c r="B219" s="2" t="s">
        <v>9</v>
      </c>
      <c r="C219" s="5">
        <v>4459</v>
      </c>
      <c r="D219" s="6">
        <v>0.84649961102907267</v>
      </c>
      <c r="E219" s="7">
        <v>4.0821938962412485E-2</v>
      </c>
      <c r="F219" s="8">
        <f t="shared" si="9"/>
        <v>176</v>
      </c>
      <c r="G219" s="8">
        <f t="shared" si="10"/>
        <v>197</v>
      </c>
      <c r="H219" s="8">
        <f t="shared" si="11"/>
        <v>219</v>
      </c>
      <c r="I219" s="4">
        <v>206</v>
      </c>
    </row>
    <row r="220" spans="1:9" x14ac:dyDescent="0.35">
      <c r="A220" s="2" t="s">
        <v>353</v>
      </c>
      <c r="B220" s="2" t="s">
        <v>349</v>
      </c>
      <c r="C220" s="5">
        <v>2606</v>
      </c>
      <c r="D220" s="6">
        <v>-0.38065568794738586</v>
      </c>
      <c r="E220" s="7">
        <v>9.307108515933149E-2</v>
      </c>
      <c r="F220" s="8">
        <f t="shared" si="9"/>
        <v>248</v>
      </c>
      <c r="G220" s="8">
        <f t="shared" si="10"/>
        <v>337</v>
      </c>
      <c r="H220" s="8">
        <f t="shared" si="11"/>
        <v>150</v>
      </c>
      <c r="I220" s="4">
        <v>207</v>
      </c>
    </row>
    <row r="221" spans="1:9" x14ac:dyDescent="0.35">
      <c r="A221" s="2" t="s">
        <v>170</v>
      </c>
      <c r="B221" s="2" t="s">
        <v>147</v>
      </c>
      <c r="C221" s="5">
        <v>1261</v>
      </c>
      <c r="D221" s="6">
        <v>0.81949378125670913</v>
      </c>
      <c r="E221" s="7">
        <v>8.6459888300915111E-2</v>
      </c>
      <c r="F221" s="8">
        <f t="shared" si="9"/>
        <v>352</v>
      </c>
      <c r="G221" s="8">
        <f t="shared" si="10"/>
        <v>204</v>
      </c>
      <c r="H221" s="8">
        <f t="shared" si="11"/>
        <v>161</v>
      </c>
      <c r="I221" s="4">
        <v>207.8</v>
      </c>
    </row>
    <row r="222" spans="1:9" x14ac:dyDescent="0.35">
      <c r="A222" s="2" t="s">
        <v>361</v>
      </c>
      <c r="B222" s="2" t="s">
        <v>349</v>
      </c>
      <c r="C222" s="5">
        <v>2555</v>
      </c>
      <c r="D222" s="6">
        <v>-1.0072527587194782</v>
      </c>
      <c r="E222" s="7">
        <v>0.10011930447403405</v>
      </c>
      <c r="F222" s="8">
        <f t="shared" si="9"/>
        <v>254</v>
      </c>
      <c r="G222" s="8">
        <f t="shared" si="10"/>
        <v>375</v>
      </c>
      <c r="H222" s="8">
        <f t="shared" si="11"/>
        <v>137</v>
      </c>
      <c r="I222" s="4">
        <v>208</v>
      </c>
    </row>
    <row r="223" spans="1:9" x14ac:dyDescent="0.35">
      <c r="A223" s="2" t="s">
        <v>271</v>
      </c>
      <c r="B223" s="2" t="s">
        <v>258</v>
      </c>
      <c r="C223" s="5">
        <v>103268</v>
      </c>
      <c r="D223" s="6">
        <v>0.29382424102650534</v>
      </c>
      <c r="E223" s="7">
        <v>1.4610909401387984E-2</v>
      </c>
      <c r="F223" s="8">
        <f t="shared" si="9"/>
        <v>5</v>
      </c>
      <c r="G223" s="8">
        <f t="shared" si="10"/>
        <v>274</v>
      </c>
      <c r="H223" s="8">
        <f t="shared" si="11"/>
        <v>256</v>
      </c>
      <c r="I223" s="4">
        <v>209.4</v>
      </c>
    </row>
    <row r="224" spans="1:9" x14ac:dyDescent="0.35">
      <c r="A224" s="2" t="s">
        <v>227</v>
      </c>
      <c r="B224" s="2" t="s">
        <v>147</v>
      </c>
      <c r="C224" s="5">
        <v>4643</v>
      </c>
      <c r="D224" s="6">
        <v>0.47519616065091624</v>
      </c>
      <c r="E224" s="7">
        <v>4.8191508371595582E-2</v>
      </c>
      <c r="F224" s="8">
        <f t="shared" si="9"/>
        <v>169</v>
      </c>
      <c r="G224" s="8">
        <f t="shared" si="10"/>
        <v>252</v>
      </c>
      <c r="H224" s="8">
        <f t="shared" si="11"/>
        <v>209</v>
      </c>
      <c r="I224" s="4">
        <v>209.60000000000002</v>
      </c>
    </row>
    <row r="225" spans="1:9" x14ac:dyDescent="0.35">
      <c r="A225" s="2" t="s">
        <v>20</v>
      </c>
      <c r="B225" s="2" t="s">
        <v>9</v>
      </c>
      <c r="C225" s="5">
        <v>1543</v>
      </c>
      <c r="D225" s="6">
        <v>-0.10854268011109777</v>
      </c>
      <c r="E225" s="7">
        <v>0.10103968015041276</v>
      </c>
      <c r="F225" s="8">
        <f t="shared" si="9"/>
        <v>329</v>
      </c>
      <c r="G225" s="8">
        <f t="shared" si="10"/>
        <v>315</v>
      </c>
      <c r="H225" s="8">
        <f t="shared" si="11"/>
        <v>135</v>
      </c>
      <c r="I225" s="4">
        <v>209.8</v>
      </c>
    </row>
    <row r="226" spans="1:9" x14ac:dyDescent="0.35">
      <c r="A226" s="2" t="s">
        <v>225</v>
      </c>
      <c r="B226" s="2" t="s">
        <v>147</v>
      </c>
      <c r="C226" s="5">
        <v>14469</v>
      </c>
      <c r="D226" s="6">
        <v>0.52501988496149876</v>
      </c>
      <c r="E226" s="7">
        <v>2.1542780442358911E-2</v>
      </c>
      <c r="F226" s="8">
        <f t="shared" si="9"/>
        <v>66</v>
      </c>
      <c r="G226" s="8">
        <f t="shared" si="10"/>
        <v>245</v>
      </c>
      <c r="H226" s="8">
        <f t="shared" si="11"/>
        <v>248</v>
      </c>
      <c r="I226" s="4">
        <v>211</v>
      </c>
    </row>
    <row r="227" spans="1:9" x14ac:dyDescent="0.35">
      <c r="A227" s="2" t="s">
        <v>145</v>
      </c>
      <c r="B227" s="2" t="s">
        <v>117</v>
      </c>
      <c r="C227" s="5">
        <v>1627</v>
      </c>
      <c r="D227" s="6">
        <v>0.64829526704298746</v>
      </c>
      <c r="E227" s="7">
        <v>7.5299936126649536E-2</v>
      </c>
      <c r="F227" s="8">
        <f t="shared" si="9"/>
        <v>318</v>
      </c>
      <c r="G227" s="8">
        <f t="shared" si="10"/>
        <v>229</v>
      </c>
      <c r="H227" s="8">
        <f t="shared" si="11"/>
        <v>171</v>
      </c>
      <c r="I227" s="4">
        <v>212</v>
      </c>
    </row>
    <row r="228" spans="1:9" x14ac:dyDescent="0.35">
      <c r="A228" s="2" t="s">
        <v>394</v>
      </c>
      <c r="B228" s="2" t="s">
        <v>388</v>
      </c>
      <c r="C228" s="5">
        <v>1514</v>
      </c>
      <c r="D228" s="6">
        <v>2.6010241085724188</v>
      </c>
      <c r="E228" s="7">
        <v>3.7520895441460089E-2</v>
      </c>
      <c r="F228" s="8">
        <f t="shared" si="9"/>
        <v>331</v>
      </c>
      <c r="G228" s="8">
        <f t="shared" si="10"/>
        <v>55</v>
      </c>
      <c r="H228" s="8">
        <f t="shared" si="11"/>
        <v>226</v>
      </c>
      <c r="I228" s="4">
        <v>212.8</v>
      </c>
    </row>
    <row r="229" spans="1:9" x14ac:dyDescent="0.35">
      <c r="A229" s="2" t="s">
        <v>96</v>
      </c>
      <c r="B229" s="2" t="s">
        <v>94</v>
      </c>
      <c r="C229" s="5">
        <v>1580</v>
      </c>
      <c r="D229" s="6">
        <v>1.4665508288320832</v>
      </c>
      <c r="E229" s="7">
        <v>5.0569284478740428E-2</v>
      </c>
      <c r="F229" s="8">
        <f t="shared" si="9"/>
        <v>323</v>
      </c>
      <c r="G229" s="8">
        <f t="shared" si="10"/>
        <v>138</v>
      </c>
      <c r="H229" s="8">
        <f t="shared" si="11"/>
        <v>202</v>
      </c>
      <c r="I229" s="4">
        <v>213.4</v>
      </c>
    </row>
    <row r="230" spans="1:9" x14ac:dyDescent="0.35">
      <c r="A230" s="2" t="s">
        <v>204</v>
      </c>
      <c r="B230" s="2" t="s">
        <v>147</v>
      </c>
      <c r="C230" s="5">
        <v>12134</v>
      </c>
      <c r="D230" s="6">
        <v>0.97700197314782189</v>
      </c>
      <c r="E230" s="7">
        <v>4.8936629184472835E-3</v>
      </c>
      <c r="F230" s="8">
        <f t="shared" si="9"/>
        <v>78</v>
      </c>
      <c r="G230" s="8">
        <f t="shared" si="10"/>
        <v>182</v>
      </c>
      <c r="H230" s="8">
        <f t="shared" si="11"/>
        <v>270</v>
      </c>
      <c r="I230" s="4">
        <v>214</v>
      </c>
    </row>
    <row r="231" spans="1:9" x14ac:dyDescent="0.35">
      <c r="A231" s="2" t="s">
        <v>298</v>
      </c>
      <c r="B231" s="2" t="s">
        <v>283</v>
      </c>
      <c r="C231" s="5">
        <v>4166</v>
      </c>
      <c r="D231" s="6">
        <v>1.125123940596833</v>
      </c>
      <c r="E231" s="7">
        <v>2.6959766394416329E-2</v>
      </c>
      <c r="F231" s="8">
        <f t="shared" si="9"/>
        <v>188</v>
      </c>
      <c r="G231" s="8">
        <f t="shared" si="10"/>
        <v>167</v>
      </c>
      <c r="H231" s="8">
        <f t="shared" si="11"/>
        <v>239</v>
      </c>
      <c r="I231" s="4">
        <v>214.4</v>
      </c>
    </row>
    <row r="232" spans="1:9" x14ac:dyDescent="0.35">
      <c r="A232" s="2" t="s">
        <v>379</v>
      </c>
      <c r="B232" s="2" t="s">
        <v>372</v>
      </c>
      <c r="C232" s="5">
        <v>7112</v>
      </c>
      <c r="D232" s="6">
        <v>1.8472255035360041</v>
      </c>
      <c r="E232" s="7">
        <v>-9.3169509992711008E-3</v>
      </c>
      <c r="F232" s="8">
        <f t="shared" si="9"/>
        <v>122</v>
      </c>
      <c r="G232" s="8">
        <f t="shared" si="10"/>
        <v>102</v>
      </c>
      <c r="H232" s="8">
        <f t="shared" si="11"/>
        <v>283</v>
      </c>
      <c r="I232" s="4">
        <v>214.6</v>
      </c>
    </row>
    <row r="233" spans="1:9" x14ac:dyDescent="0.35">
      <c r="A233" s="2" t="s">
        <v>70</v>
      </c>
      <c r="B233" s="2" t="s">
        <v>61</v>
      </c>
      <c r="C233" s="5">
        <v>2476</v>
      </c>
      <c r="D233" s="6">
        <v>0.19242262997079757</v>
      </c>
      <c r="E233" s="7">
        <v>7.3901964988908331E-2</v>
      </c>
      <c r="F233" s="8">
        <f t="shared" si="9"/>
        <v>260</v>
      </c>
      <c r="G233" s="8">
        <f t="shared" si="10"/>
        <v>289</v>
      </c>
      <c r="H233" s="8">
        <f t="shared" si="11"/>
        <v>175</v>
      </c>
      <c r="I233" s="4">
        <v>214.8</v>
      </c>
    </row>
    <row r="234" spans="1:9" x14ac:dyDescent="0.35">
      <c r="A234" s="2" t="s">
        <v>111</v>
      </c>
      <c r="B234" s="2" t="s">
        <v>94</v>
      </c>
      <c r="C234" s="5">
        <v>1641</v>
      </c>
      <c r="D234" s="6">
        <v>0.84972309769975773</v>
      </c>
      <c r="E234" s="7">
        <v>6.7342926192906605E-2</v>
      </c>
      <c r="F234" s="8">
        <f t="shared" si="9"/>
        <v>317</v>
      </c>
      <c r="G234" s="8">
        <f t="shared" si="10"/>
        <v>196</v>
      </c>
      <c r="H234" s="8">
        <f t="shared" si="11"/>
        <v>187</v>
      </c>
      <c r="I234" s="4">
        <v>214.8</v>
      </c>
    </row>
    <row r="235" spans="1:9" x14ac:dyDescent="0.35">
      <c r="A235" s="2" t="s">
        <v>199</v>
      </c>
      <c r="B235" s="2" t="s">
        <v>147</v>
      </c>
      <c r="C235" s="5">
        <v>4674</v>
      </c>
      <c r="D235" s="6">
        <v>1.5496417514042864</v>
      </c>
      <c r="E235" s="7">
        <v>1.0885726693244946E-2</v>
      </c>
      <c r="F235" s="8">
        <f t="shared" si="9"/>
        <v>167</v>
      </c>
      <c r="G235" s="8">
        <f t="shared" si="10"/>
        <v>127</v>
      </c>
      <c r="H235" s="8">
        <f t="shared" si="11"/>
        <v>260</v>
      </c>
      <c r="I235" s="4">
        <v>214.8</v>
      </c>
    </row>
    <row r="236" spans="1:9" x14ac:dyDescent="0.35">
      <c r="A236" s="2" t="s">
        <v>309</v>
      </c>
      <c r="B236" s="2" t="s">
        <v>310</v>
      </c>
      <c r="C236" s="5">
        <v>6114</v>
      </c>
      <c r="D236" s="6">
        <v>10.921936876637742</v>
      </c>
      <c r="E236" s="7">
        <v>-3.5663183193521464E-2</v>
      </c>
      <c r="F236" s="8">
        <f t="shared" si="9"/>
        <v>138</v>
      </c>
      <c r="G236" s="8">
        <f t="shared" si="10"/>
        <v>3</v>
      </c>
      <c r="H236" s="8">
        <f t="shared" si="11"/>
        <v>312</v>
      </c>
      <c r="I236" s="4">
        <v>215.39999999999998</v>
      </c>
    </row>
    <row r="237" spans="1:9" x14ac:dyDescent="0.35">
      <c r="A237" s="2" t="s">
        <v>85</v>
      </c>
      <c r="B237" s="2" t="s">
        <v>84</v>
      </c>
      <c r="C237" s="5">
        <v>8188</v>
      </c>
      <c r="D237" s="6">
        <v>0.20397716039869673</v>
      </c>
      <c r="E237" s="7">
        <v>3.4765245618221918E-2</v>
      </c>
      <c r="F237" s="8">
        <f t="shared" si="9"/>
        <v>107</v>
      </c>
      <c r="G237" s="8">
        <f t="shared" si="10"/>
        <v>286</v>
      </c>
      <c r="H237" s="8">
        <f t="shared" si="11"/>
        <v>229</v>
      </c>
      <c r="I237" s="4">
        <v>216</v>
      </c>
    </row>
    <row r="238" spans="1:9" x14ac:dyDescent="0.35">
      <c r="A238" s="2" t="s">
        <v>278</v>
      </c>
      <c r="B238" s="2" t="s">
        <v>258</v>
      </c>
      <c r="C238" s="5">
        <v>90034</v>
      </c>
      <c r="D238" s="6">
        <v>0.57088439445496675</v>
      </c>
      <c r="E238" s="7">
        <v>-4.7112608797180711E-3</v>
      </c>
      <c r="F238" s="8">
        <f t="shared" si="9"/>
        <v>7</v>
      </c>
      <c r="G238" s="8">
        <f t="shared" si="10"/>
        <v>240</v>
      </c>
      <c r="H238" s="8">
        <f t="shared" si="11"/>
        <v>278</v>
      </c>
      <c r="I238" s="4">
        <v>216.2</v>
      </c>
    </row>
    <row r="239" spans="1:9" x14ac:dyDescent="0.35">
      <c r="A239" s="2" t="s">
        <v>218</v>
      </c>
      <c r="B239" s="2" t="s">
        <v>147</v>
      </c>
      <c r="C239" s="5">
        <v>2694</v>
      </c>
      <c r="D239" s="6">
        <v>0.14026137962533858</v>
      </c>
      <c r="E239" s="7">
        <v>7.1840622043112923E-2</v>
      </c>
      <c r="F239" s="8">
        <f t="shared" si="9"/>
        <v>244</v>
      </c>
      <c r="G239" s="8">
        <f t="shared" si="10"/>
        <v>298</v>
      </c>
      <c r="H239" s="8">
        <f t="shared" si="11"/>
        <v>180</v>
      </c>
      <c r="I239" s="4">
        <v>216.4</v>
      </c>
    </row>
    <row r="240" spans="1:9" x14ac:dyDescent="0.35">
      <c r="A240" s="2" t="s">
        <v>405</v>
      </c>
      <c r="B240" s="2" t="s">
        <v>388</v>
      </c>
      <c r="C240" s="5">
        <v>1235</v>
      </c>
      <c r="D240" s="6">
        <v>-0.14073307340572908</v>
      </c>
      <c r="E240" s="7">
        <v>0.10060547541414389</v>
      </c>
      <c r="F240" s="8">
        <f t="shared" si="9"/>
        <v>359</v>
      </c>
      <c r="G240" s="8">
        <f t="shared" si="10"/>
        <v>320</v>
      </c>
      <c r="H240" s="8">
        <f t="shared" si="11"/>
        <v>136</v>
      </c>
      <c r="I240" s="4">
        <v>217.4</v>
      </c>
    </row>
    <row r="241" spans="1:9" x14ac:dyDescent="0.35">
      <c r="A241" s="2" t="s">
        <v>41</v>
      </c>
      <c r="B241" s="2" t="s">
        <v>24</v>
      </c>
      <c r="C241" s="5">
        <v>21969</v>
      </c>
      <c r="D241" s="6">
        <v>1.2375648597001083</v>
      </c>
      <c r="E241" s="7">
        <v>-1.8199896980128583E-2</v>
      </c>
      <c r="F241" s="8">
        <f t="shared" si="9"/>
        <v>46</v>
      </c>
      <c r="G241" s="8">
        <f t="shared" si="10"/>
        <v>154</v>
      </c>
      <c r="H241" s="8">
        <f t="shared" si="11"/>
        <v>296</v>
      </c>
      <c r="I241" s="4">
        <v>217.6</v>
      </c>
    </row>
    <row r="242" spans="1:9" x14ac:dyDescent="0.35">
      <c r="A242" s="2" t="s">
        <v>156</v>
      </c>
      <c r="B242" s="2" t="s">
        <v>147</v>
      </c>
      <c r="C242" s="5">
        <v>2091</v>
      </c>
      <c r="D242" s="6">
        <v>1.9601413001021786</v>
      </c>
      <c r="E242" s="7">
        <v>2.5938042426465246E-2</v>
      </c>
      <c r="F242" s="8">
        <f t="shared" si="9"/>
        <v>277</v>
      </c>
      <c r="G242" s="8">
        <f t="shared" si="10"/>
        <v>90</v>
      </c>
      <c r="H242" s="8">
        <f t="shared" si="11"/>
        <v>241</v>
      </c>
      <c r="I242" s="4">
        <v>218</v>
      </c>
    </row>
    <row r="243" spans="1:9" x14ac:dyDescent="0.35">
      <c r="A243" s="2" t="s">
        <v>244</v>
      </c>
      <c r="B243" s="2" t="s">
        <v>235</v>
      </c>
      <c r="C243" s="5">
        <v>1893</v>
      </c>
      <c r="D243" s="6">
        <v>-0.21294083747260631</v>
      </c>
      <c r="E243" s="7">
        <v>8.8667176963784122E-2</v>
      </c>
      <c r="F243" s="8">
        <f t="shared" si="9"/>
        <v>292</v>
      </c>
      <c r="G243" s="8">
        <f t="shared" si="10"/>
        <v>328</v>
      </c>
      <c r="H243" s="8">
        <f t="shared" si="11"/>
        <v>158</v>
      </c>
      <c r="I243" s="4">
        <v>218.8</v>
      </c>
    </row>
    <row r="244" spans="1:9" x14ac:dyDescent="0.35">
      <c r="A244" s="2" t="s">
        <v>421</v>
      </c>
      <c r="B244" s="2" t="s">
        <v>409</v>
      </c>
      <c r="C244" s="5">
        <v>17226</v>
      </c>
      <c r="D244" s="6">
        <v>1.397272624522411</v>
      </c>
      <c r="E244" s="7">
        <v>-1.8797827360670039E-2</v>
      </c>
      <c r="F244" s="8">
        <f t="shared" si="9"/>
        <v>60</v>
      </c>
      <c r="G244" s="8">
        <f t="shared" si="10"/>
        <v>141</v>
      </c>
      <c r="H244" s="8">
        <f t="shared" si="11"/>
        <v>298</v>
      </c>
      <c r="I244" s="4">
        <v>219</v>
      </c>
    </row>
    <row r="245" spans="1:9" x14ac:dyDescent="0.35">
      <c r="A245" s="2" t="s">
        <v>381</v>
      </c>
      <c r="B245" s="2" t="s">
        <v>372</v>
      </c>
      <c r="C245" s="5">
        <v>8566</v>
      </c>
      <c r="D245" s="6">
        <v>2.2750122227376681</v>
      </c>
      <c r="E245" s="7">
        <v>-3.1199868459755309E-2</v>
      </c>
      <c r="F245" s="8">
        <f t="shared" si="9"/>
        <v>105</v>
      </c>
      <c r="G245" s="8">
        <f t="shared" si="10"/>
        <v>68</v>
      </c>
      <c r="H245" s="8">
        <f t="shared" si="11"/>
        <v>309</v>
      </c>
      <c r="I245" s="4">
        <v>220</v>
      </c>
    </row>
    <row r="246" spans="1:9" x14ac:dyDescent="0.35">
      <c r="A246" s="2" t="s">
        <v>26</v>
      </c>
      <c r="B246" s="2" t="s">
        <v>24</v>
      </c>
      <c r="C246" s="5">
        <v>5955</v>
      </c>
      <c r="D246" s="6">
        <v>-0.48917711701881889</v>
      </c>
      <c r="E246" s="7">
        <v>4.8531790077480874E-2</v>
      </c>
      <c r="F246" s="8">
        <f t="shared" si="9"/>
        <v>142</v>
      </c>
      <c r="G246" s="8">
        <f t="shared" si="10"/>
        <v>346</v>
      </c>
      <c r="H246" s="8">
        <f t="shared" si="11"/>
        <v>206</v>
      </c>
      <c r="I246" s="4">
        <v>221.2</v>
      </c>
    </row>
    <row r="247" spans="1:9" x14ac:dyDescent="0.35">
      <c r="A247" s="2" t="s">
        <v>222</v>
      </c>
      <c r="B247" s="2" t="s">
        <v>147</v>
      </c>
      <c r="C247" s="5">
        <v>2090</v>
      </c>
      <c r="D247" s="6">
        <v>1.149526025456854</v>
      </c>
      <c r="E247" s="7">
        <v>3.9032598381052885E-2</v>
      </c>
      <c r="F247" s="8">
        <f t="shared" si="9"/>
        <v>278</v>
      </c>
      <c r="G247" s="8">
        <f t="shared" si="10"/>
        <v>165</v>
      </c>
      <c r="H247" s="8">
        <f t="shared" si="11"/>
        <v>223</v>
      </c>
      <c r="I247" s="4">
        <v>222.39999999999998</v>
      </c>
    </row>
    <row r="248" spans="1:9" x14ac:dyDescent="0.35">
      <c r="A248" s="2" t="s">
        <v>341</v>
      </c>
      <c r="B248" s="2" t="s">
        <v>328</v>
      </c>
      <c r="C248" s="5">
        <v>7240</v>
      </c>
      <c r="D248" s="6">
        <v>1.688000845357482</v>
      </c>
      <c r="E248" s="7">
        <v>-1.6948370153916814E-2</v>
      </c>
      <c r="F248" s="8">
        <f t="shared" si="9"/>
        <v>121</v>
      </c>
      <c r="G248" s="8">
        <f t="shared" si="10"/>
        <v>115</v>
      </c>
      <c r="H248" s="8">
        <f t="shared" si="11"/>
        <v>293</v>
      </c>
      <c r="I248" s="4">
        <v>223</v>
      </c>
    </row>
    <row r="249" spans="1:9" x14ac:dyDescent="0.35">
      <c r="A249" s="2" t="s">
        <v>317</v>
      </c>
      <c r="B249" s="2" t="s">
        <v>310</v>
      </c>
      <c r="C249" s="5">
        <v>1677</v>
      </c>
      <c r="D249" s="6">
        <v>8.8000489723806705</v>
      </c>
      <c r="E249" s="7">
        <v>8.2556157084945347E-3</v>
      </c>
      <c r="F249" s="8">
        <f t="shared" si="9"/>
        <v>316</v>
      </c>
      <c r="G249" s="8">
        <f t="shared" si="10"/>
        <v>12</v>
      </c>
      <c r="H249" s="8">
        <f t="shared" si="11"/>
        <v>264</v>
      </c>
      <c r="I249" s="4">
        <v>224</v>
      </c>
    </row>
    <row r="250" spans="1:9" x14ac:dyDescent="0.35">
      <c r="A250" s="2" t="s">
        <v>289</v>
      </c>
      <c r="B250" s="2" t="s">
        <v>283</v>
      </c>
      <c r="C250" s="5">
        <v>2352</v>
      </c>
      <c r="D250" s="6">
        <v>-0.82012509932777056</v>
      </c>
      <c r="E250" s="7">
        <v>8.3708729887897348E-2</v>
      </c>
      <c r="F250" s="8">
        <f t="shared" si="9"/>
        <v>264</v>
      </c>
      <c r="G250" s="8">
        <f t="shared" si="10"/>
        <v>366</v>
      </c>
      <c r="H250" s="8">
        <f t="shared" si="11"/>
        <v>164</v>
      </c>
      <c r="I250" s="4">
        <v>224.39999999999998</v>
      </c>
    </row>
    <row r="251" spans="1:9" x14ac:dyDescent="0.35">
      <c r="A251" s="2" t="s">
        <v>425</v>
      </c>
      <c r="B251" s="2" t="s">
        <v>409</v>
      </c>
      <c r="C251" s="5">
        <v>5980</v>
      </c>
      <c r="D251" s="6">
        <v>5.8340887860191257</v>
      </c>
      <c r="E251" s="7">
        <v>-4.5877032929053874E-2</v>
      </c>
      <c r="F251" s="8">
        <f t="shared" si="9"/>
        <v>141</v>
      </c>
      <c r="G251" s="8">
        <f t="shared" si="10"/>
        <v>20</v>
      </c>
      <c r="H251" s="8">
        <f t="shared" si="11"/>
        <v>321</v>
      </c>
      <c r="I251" s="4">
        <v>224.8</v>
      </c>
    </row>
    <row r="252" spans="1:9" x14ac:dyDescent="0.35">
      <c r="A252" s="2" t="s">
        <v>319</v>
      </c>
      <c r="B252" s="2" t="s">
        <v>310</v>
      </c>
      <c r="C252" s="5">
        <v>4150</v>
      </c>
      <c r="D252" s="6">
        <v>7.7188180428206206</v>
      </c>
      <c r="E252" s="7">
        <v>-2.4024795104971242E-2</v>
      </c>
      <c r="F252" s="8">
        <f t="shared" si="9"/>
        <v>189</v>
      </c>
      <c r="G252" s="8">
        <f t="shared" si="10"/>
        <v>16</v>
      </c>
      <c r="H252" s="8">
        <f t="shared" si="11"/>
        <v>307</v>
      </c>
      <c r="I252" s="4">
        <v>225.2</v>
      </c>
    </row>
    <row r="253" spans="1:9" x14ac:dyDescent="0.35">
      <c r="A253" s="2" t="s">
        <v>332</v>
      </c>
      <c r="B253" s="2" t="s">
        <v>328</v>
      </c>
      <c r="C253" s="5">
        <v>3031</v>
      </c>
      <c r="D253" s="6">
        <v>-0.53014653200061612</v>
      </c>
      <c r="E253" s="7">
        <v>6.9495964001199173E-2</v>
      </c>
      <c r="F253" s="8">
        <f t="shared" si="9"/>
        <v>229</v>
      </c>
      <c r="G253" s="8">
        <f t="shared" si="10"/>
        <v>350</v>
      </c>
      <c r="H253" s="8">
        <f t="shared" si="11"/>
        <v>183</v>
      </c>
      <c r="I253" s="4">
        <v>225.60000000000002</v>
      </c>
    </row>
    <row r="254" spans="1:9" x14ac:dyDescent="0.35">
      <c r="A254" s="2" t="s">
        <v>173</v>
      </c>
      <c r="B254" s="2" t="s">
        <v>147</v>
      </c>
      <c r="C254" s="5">
        <v>1561</v>
      </c>
      <c r="D254" s="6">
        <v>3.580804157811825</v>
      </c>
      <c r="E254" s="7">
        <v>1.5063189095510188E-2</v>
      </c>
      <c r="F254" s="8">
        <f t="shared" si="9"/>
        <v>327</v>
      </c>
      <c r="G254" s="8">
        <f t="shared" si="10"/>
        <v>39</v>
      </c>
      <c r="H254" s="8">
        <f t="shared" si="11"/>
        <v>255</v>
      </c>
      <c r="I254" s="4">
        <v>226.2</v>
      </c>
    </row>
    <row r="255" spans="1:9" x14ac:dyDescent="0.35">
      <c r="A255" s="2" t="s">
        <v>47</v>
      </c>
      <c r="B255" s="2" t="s">
        <v>43</v>
      </c>
      <c r="C255" s="5">
        <v>2717</v>
      </c>
      <c r="D255" s="6">
        <v>1.7196519593715442</v>
      </c>
      <c r="E255" s="7">
        <v>1.2233884900638259E-2</v>
      </c>
      <c r="F255" s="8">
        <f t="shared" si="9"/>
        <v>242</v>
      </c>
      <c r="G255" s="8">
        <f t="shared" si="10"/>
        <v>112</v>
      </c>
      <c r="H255" s="8">
        <f t="shared" si="11"/>
        <v>259</v>
      </c>
      <c r="I255" s="4">
        <v>226.20000000000002</v>
      </c>
    </row>
    <row r="256" spans="1:9" x14ac:dyDescent="0.35">
      <c r="A256" s="2" t="s">
        <v>148</v>
      </c>
      <c r="B256" s="2" t="s">
        <v>147</v>
      </c>
      <c r="C256" s="5">
        <v>1308</v>
      </c>
      <c r="D256" s="6">
        <v>1.4579410281096445</v>
      </c>
      <c r="E256" s="7">
        <v>4.5397126324356218E-2</v>
      </c>
      <c r="F256" s="8">
        <f t="shared" si="9"/>
        <v>348</v>
      </c>
      <c r="G256" s="8">
        <f t="shared" si="10"/>
        <v>139</v>
      </c>
      <c r="H256" s="8">
        <f t="shared" si="11"/>
        <v>216</v>
      </c>
      <c r="I256" s="4">
        <v>227</v>
      </c>
    </row>
    <row r="257" spans="1:9" x14ac:dyDescent="0.35">
      <c r="A257" s="2" t="s">
        <v>206</v>
      </c>
      <c r="B257" s="2" t="s">
        <v>147</v>
      </c>
      <c r="C257" s="5">
        <v>4642</v>
      </c>
      <c r="D257" s="6">
        <v>-2.046237912295255</v>
      </c>
      <c r="E257" s="7">
        <v>6.3411228065675118E-2</v>
      </c>
      <c r="F257" s="8">
        <f t="shared" si="9"/>
        <v>170</v>
      </c>
      <c r="G257" s="8">
        <f t="shared" si="10"/>
        <v>393</v>
      </c>
      <c r="H257" s="8">
        <f t="shared" si="11"/>
        <v>191</v>
      </c>
      <c r="I257" s="4">
        <v>227.2</v>
      </c>
    </row>
    <row r="258" spans="1:9" x14ac:dyDescent="0.35">
      <c r="A258" s="2" t="s">
        <v>112</v>
      </c>
      <c r="B258" s="2" t="s">
        <v>94</v>
      </c>
      <c r="C258" s="5">
        <v>3707</v>
      </c>
      <c r="D258" s="6">
        <v>0.67911850200850854</v>
      </c>
      <c r="E258" s="7">
        <v>2.8600485191350611E-2</v>
      </c>
      <c r="F258" s="8">
        <f t="shared" si="9"/>
        <v>204</v>
      </c>
      <c r="G258" s="8">
        <f t="shared" si="10"/>
        <v>223</v>
      </c>
      <c r="H258" s="8">
        <f t="shared" si="11"/>
        <v>237</v>
      </c>
      <c r="I258" s="4">
        <v>227.6</v>
      </c>
    </row>
    <row r="259" spans="1:9" x14ac:dyDescent="0.35">
      <c r="A259" s="2" t="s">
        <v>314</v>
      </c>
      <c r="B259" s="2" t="s">
        <v>310</v>
      </c>
      <c r="C259" s="5">
        <v>2040</v>
      </c>
      <c r="D259" s="6">
        <v>7.9712798935891778</v>
      </c>
      <c r="E259" s="7">
        <v>-7.5988737860076538E-3</v>
      </c>
      <c r="F259" s="8">
        <f t="shared" ref="F259:F322" si="12">RANK(C259,$C$3:$C$404)</f>
        <v>285</v>
      </c>
      <c r="G259" s="8">
        <f t="shared" ref="G259:G322" si="13">RANK(D259,$D$3:$D$404)</f>
        <v>15</v>
      </c>
      <c r="H259" s="8">
        <f t="shared" ref="H259:H322" si="14">RANK(E259,$E$3:$E$404)</f>
        <v>280</v>
      </c>
      <c r="I259" s="4">
        <v>228</v>
      </c>
    </row>
    <row r="260" spans="1:9" x14ac:dyDescent="0.35">
      <c r="A260" s="2" t="s">
        <v>136</v>
      </c>
      <c r="B260" s="2" t="s">
        <v>117</v>
      </c>
      <c r="C260" s="5">
        <v>1771</v>
      </c>
      <c r="D260" s="6">
        <v>1.9896503625667368</v>
      </c>
      <c r="E260" s="7">
        <v>1.8860212484162364E-2</v>
      </c>
      <c r="F260" s="8">
        <f t="shared" si="12"/>
        <v>306</v>
      </c>
      <c r="G260" s="8">
        <f t="shared" si="13"/>
        <v>87</v>
      </c>
      <c r="H260" s="8">
        <f t="shared" si="14"/>
        <v>250</v>
      </c>
      <c r="I260" s="4">
        <v>228.60000000000002</v>
      </c>
    </row>
    <row r="261" spans="1:9" x14ac:dyDescent="0.35">
      <c r="A261" s="2" t="s">
        <v>373</v>
      </c>
      <c r="B261" s="2" t="s">
        <v>372</v>
      </c>
      <c r="C261" s="5">
        <v>28821</v>
      </c>
      <c r="D261" s="6">
        <v>2.1933329883081463</v>
      </c>
      <c r="E261" s="7">
        <v>-9.1492296576190957E-2</v>
      </c>
      <c r="F261" s="8">
        <f t="shared" si="12"/>
        <v>37</v>
      </c>
      <c r="G261" s="8">
        <f t="shared" si="13"/>
        <v>76</v>
      </c>
      <c r="H261" s="8">
        <f t="shared" si="14"/>
        <v>344</v>
      </c>
      <c r="I261" s="4">
        <v>229</v>
      </c>
    </row>
    <row r="262" spans="1:9" x14ac:dyDescent="0.35">
      <c r="A262" s="2" t="s">
        <v>395</v>
      </c>
      <c r="B262" s="2" t="s">
        <v>388</v>
      </c>
      <c r="C262" s="5">
        <v>1616</v>
      </c>
      <c r="D262" s="6">
        <v>4.6802350928186778</v>
      </c>
      <c r="E262" s="7">
        <v>7.6405455562307267E-3</v>
      </c>
      <c r="F262" s="8">
        <f t="shared" si="12"/>
        <v>320</v>
      </c>
      <c r="G262" s="8">
        <f t="shared" si="13"/>
        <v>27</v>
      </c>
      <c r="H262" s="8">
        <f t="shared" si="14"/>
        <v>267</v>
      </c>
      <c r="I262" s="4">
        <v>229.6</v>
      </c>
    </row>
    <row r="263" spans="1:9" x14ac:dyDescent="0.35">
      <c r="A263" s="2" t="s">
        <v>416</v>
      </c>
      <c r="B263" s="2" t="s">
        <v>409</v>
      </c>
      <c r="C263" s="5">
        <v>3611</v>
      </c>
      <c r="D263" s="6">
        <v>3.1131360856079069</v>
      </c>
      <c r="E263" s="7">
        <v>-1.9994013740368355E-2</v>
      </c>
      <c r="F263" s="8">
        <f t="shared" si="12"/>
        <v>209</v>
      </c>
      <c r="G263" s="8">
        <f t="shared" si="13"/>
        <v>44</v>
      </c>
      <c r="H263" s="8">
        <f t="shared" si="14"/>
        <v>302</v>
      </c>
      <c r="I263" s="4">
        <v>231.8</v>
      </c>
    </row>
    <row r="264" spans="1:9" x14ac:dyDescent="0.35">
      <c r="A264" s="2" t="s">
        <v>38</v>
      </c>
      <c r="B264" s="2" t="s">
        <v>24</v>
      </c>
      <c r="C264" s="5">
        <v>2928</v>
      </c>
      <c r="D264" s="6">
        <v>2.6792225718187574</v>
      </c>
      <c r="E264" s="7">
        <v>-1.6251622932179965E-2</v>
      </c>
      <c r="F264" s="8">
        <f t="shared" si="12"/>
        <v>233</v>
      </c>
      <c r="G264" s="8">
        <f t="shared" si="13"/>
        <v>54</v>
      </c>
      <c r="H264" s="8">
        <f t="shared" si="14"/>
        <v>291</v>
      </c>
      <c r="I264" s="4">
        <v>232</v>
      </c>
    </row>
    <row r="265" spans="1:9" x14ac:dyDescent="0.35">
      <c r="A265" s="2" t="s">
        <v>355</v>
      </c>
      <c r="B265" s="2" t="s">
        <v>349</v>
      </c>
      <c r="C265" s="5">
        <v>4913</v>
      </c>
      <c r="D265" s="6">
        <v>-0.78425058268062597</v>
      </c>
      <c r="E265" s="7">
        <v>4.7390108591984115E-2</v>
      </c>
      <c r="F265" s="8">
        <f t="shared" si="12"/>
        <v>163</v>
      </c>
      <c r="G265" s="8">
        <f t="shared" si="13"/>
        <v>362</v>
      </c>
      <c r="H265" s="8">
        <f t="shared" si="14"/>
        <v>212</v>
      </c>
      <c r="I265" s="4">
        <v>232.2</v>
      </c>
    </row>
    <row r="266" spans="1:9" x14ac:dyDescent="0.35">
      <c r="A266" s="2" t="s">
        <v>91</v>
      </c>
      <c r="B266" s="2" t="s">
        <v>84</v>
      </c>
      <c r="C266" s="5">
        <v>2418</v>
      </c>
      <c r="D266" s="6">
        <v>-5.3435753953374849</v>
      </c>
      <c r="E266" s="7">
        <v>8.2354501663755464E-2</v>
      </c>
      <c r="F266" s="8">
        <f t="shared" si="12"/>
        <v>262</v>
      </c>
      <c r="G266" s="8">
        <f t="shared" si="13"/>
        <v>401</v>
      </c>
      <c r="H266" s="8">
        <f t="shared" si="14"/>
        <v>167</v>
      </c>
      <c r="I266" s="4">
        <v>232.8</v>
      </c>
    </row>
    <row r="267" spans="1:9" x14ac:dyDescent="0.35">
      <c r="A267" s="2" t="s">
        <v>185</v>
      </c>
      <c r="B267" s="2" t="s">
        <v>147</v>
      </c>
      <c r="C267" s="5">
        <v>5107</v>
      </c>
      <c r="D267" s="6">
        <v>-1.042549934218395</v>
      </c>
      <c r="E267" s="7">
        <v>4.7485306214188672E-2</v>
      </c>
      <c r="F267" s="8">
        <f t="shared" si="12"/>
        <v>155</v>
      </c>
      <c r="G267" s="8">
        <f t="shared" si="13"/>
        <v>377</v>
      </c>
      <c r="H267" s="8">
        <f t="shared" si="14"/>
        <v>211</v>
      </c>
      <c r="I267" s="4">
        <v>233</v>
      </c>
    </row>
    <row r="268" spans="1:9" x14ac:dyDescent="0.35">
      <c r="A268" s="2" t="s">
        <v>322</v>
      </c>
      <c r="B268" s="2" t="s">
        <v>310</v>
      </c>
      <c r="C268" s="5">
        <v>7894</v>
      </c>
      <c r="D268" s="6">
        <v>8.0913862778662349</v>
      </c>
      <c r="E268" s="7">
        <v>-9.929108016540189E-2</v>
      </c>
      <c r="F268" s="8">
        <f t="shared" si="12"/>
        <v>111</v>
      </c>
      <c r="G268" s="8">
        <f t="shared" si="13"/>
        <v>14</v>
      </c>
      <c r="H268" s="8">
        <f t="shared" si="14"/>
        <v>348</v>
      </c>
      <c r="I268" s="4">
        <v>233.79999999999998</v>
      </c>
    </row>
    <row r="269" spans="1:9" x14ac:dyDescent="0.35">
      <c r="A269" s="2" t="s">
        <v>44</v>
      </c>
      <c r="B269" s="2" t="s">
        <v>43</v>
      </c>
      <c r="C269" s="5">
        <v>11156</v>
      </c>
      <c r="D269" s="6">
        <v>1.1614091912050686</v>
      </c>
      <c r="E269" s="7">
        <v>-2.7953723583705958E-2</v>
      </c>
      <c r="F269" s="8">
        <f t="shared" si="12"/>
        <v>84</v>
      </c>
      <c r="G269" s="8">
        <f t="shared" si="13"/>
        <v>164</v>
      </c>
      <c r="H269" s="8">
        <f t="shared" si="14"/>
        <v>308</v>
      </c>
      <c r="I269" s="4">
        <v>234.39999999999998</v>
      </c>
    </row>
    <row r="270" spans="1:9" x14ac:dyDescent="0.35">
      <c r="A270" s="2" t="s">
        <v>106</v>
      </c>
      <c r="B270" s="2" t="s">
        <v>94</v>
      </c>
      <c r="C270" s="5">
        <v>1784</v>
      </c>
      <c r="D270" s="6">
        <v>1.9735107634007325</v>
      </c>
      <c r="E270" s="7">
        <v>9.37844800847909E-3</v>
      </c>
      <c r="F270" s="8">
        <f t="shared" si="12"/>
        <v>305</v>
      </c>
      <c r="G270" s="8">
        <f t="shared" si="13"/>
        <v>88</v>
      </c>
      <c r="H270" s="8">
        <f t="shared" si="14"/>
        <v>262</v>
      </c>
      <c r="I270" s="4">
        <v>235.79999999999998</v>
      </c>
    </row>
    <row r="271" spans="1:9" x14ac:dyDescent="0.35">
      <c r="A271" s="2" t="s">
        <v>62</v>
      </c>
      <c r="B271" s="2" t="s">
        <v>61</v>
      </c>
      <c r="C271" s="5">
        <v>2190</v>
      </c>
      <c r="D271" s="6">
        <v>2.9647582393628693</v>
      </c>
      <c r="E271" s="7">
        <v>-1.2984206415505906E-2</v>
      </c>
      <c r="F271" s="8">
        <f t="shared" si="12"/>
        <v>271</v>
      </c>
      <c r="G271" s="8">
        <f t="shared" si="13"/>
        <v>47</v>
      </c>
      <c r="H271" s="8">
        <f t="shared" si="14"/>
        <v>288</v>
      </c>
      <c r="I271" s="4">
        <v>236.39999999999998</v>
      </c>
    </row>
    <row r="272" spans="1:9" x14ac:dyDescent="0.35">
      <c r="A272" s="2" t="s">
        <v>134</v>
      </c>
      <c r="B272" s="2" t="s">
        <v>117</v>
      </c>
      <c r="C272" s="5">
        <v>1564</v>
      </c>
      <c r="D272" s="6">
        <v>-0.10003294371525988</v>
      </c>
      <c r="E272" s="7">
        <v>7.1698615514357744E-2</v>
      </c>
      <c r="F272" s="8">
        <f t="shared" si="12"/>
        <v>326</v>
      </c>
      <c r="G272" s="8">
        <f t="shared" si="13"/>
        <v>313</v>
      </c>
      <c r="H272" s="8">
        <f t="shared" si="14"/>
        <v>181</v>
      </c>
      <c r="I272" s="4">
        <v>236.4</v>
      </c>
    </row>
    <row r="273" spans="1:9" x14ac:dyDescent="0.35">
      <c r="A273" s="2" t="s">
        <v>66</v>
      </c>
      <c r="B273" s="2" t="s">
        <v>61</v>
      </c>
      <c r="C273" s="5">
        <v>5092</v>
      </c>
      <c r="D273" s="6">
        <v>1.5628556407923713</v>
      </c>
      <c r="E273" s="7">
        <v>-1.9359322637918841E-2</v>
      </c>
      <c r="F273" s="8">
        <f t="shared" si="12"/>
        <v>156</v>
      </c>
      <c r="G273" s="8">
        <f t="shared" si="13"/>
        <v>125</v>
      </c>
      <c r="H273" s="8">
        <f t="shared" si="14"/>
        <v>301</v>
      </c>
      <c r="I273" s="4">
        <v>236.8</v>
      </c>
    </row>
    <row r="274" spans="1:9" x14ac:dyDescent="0.35">
      <c r="A274" s="2" t="s">
        <v>109</v>
      </c>
      <c r="B274" s="2" t="s">
        <v>94</v>
      </c>
      <c r="C274" s="5">
        <v>1858</v>
      </c>
      <c r="D274" s="6">
        <v>0.47347333489759669</v>
      </c>
      <c r="E274" s="7">
        <v>4.7114595990002783E-2</v>
      </c>
      <c r="F274" s="8">
        <f t="shared" si="12"/>
        <v>294</v>
      </c>
      <c r="G274" s="8">
        <f t="shared" si="13"/>
        <v>253</v>
      </c>
      <c r="H274" s="8">
        <f t="shared" si="14"/>
        <v>213</v>
      </c>
      <c r="I274" s="4">
        <v>237.2</v>
      </c>
    </row>
    <row r="275" spans="1:9" x14ac:dyDescent="0.35">
      <c r="A275" s="2" t="s">
        <v>208</v>
      </c>
      <c r="B275" s="2" t="s">
        <v>147</v>
      </c>
      <c r="C275" s="5">
        <v>1917</v>
      </c>
      <c r="D275" s="6">
        <v>2.271812704199736</v>
      </c>
      <c r="E275" s="7">
        <v>-5.2587612081511637E-4</v>
      </c>
      <c r="F275" s="8">
        <f t="shared" si="12"/>
        <v>291</v>
      </c>
      <c r="G275" s="8">
        <f t="shared" si="13"/>
        <v>69</v>
      </c>
      <c r="H275" s="8">
        <f t="shared" si="14"/>
        <v>276</v>
      </c>
      <c r="I275" s="4">
        <v>237.6</v>
      </c>
    </row>
    <row r="276" spans="1:9" x14ac:dyDescent="0.35">
      <c r="A276" s="2" t="s">
        <v>67</v>
      </c>
      <c r="B276" s="2" t="s">
        <v>61</v>
      </c>
      <c r="C276" s="5">
        <v>12810</v>
      </c>
      <c r="D276" s="6">
        <v>1.679166611855994</v>
      </c>
      <c r="E276" s="7">
        <v>-6.8653164913631826E-2</v>
      </c>
      <c r="F276" s="8">
        <f t="shared" si="12"/>
        <v>74</v>
      </c>
      <c r="G276" s="8">
        <f t="shared" si="13"/>
        <v>117</v>
      </c>
      <c r="H276" s="8">
        <f t="shared" si="14"/>
        <v>335</v>
      </c>
      <c r="I276" s="4">
        <v>239.2</v>
      </c>
    </row>
    <row r="277" spans="1:9" x14ac:dyDescent="0.35">
      <c r="A277" s="2" t="s">
        <v>240</v>
      </c>
      <c r="B277" s="2" t="s">
        <v>235</v>
      </c>
      <c r="C277" s="5">
        <v>3964</v>
      </c>
      <c r="D277" s="6">
        <v>-0.50649590383537457</v>
      </c>
      <c r="E277" s="7">
        <v>4.1651417661311863E-2</v>
      </c>
      <c r="F277" s="8">
        <f t="shared" si="12"/>
        <v>195</v>
      </c>
      <c r="G277" s="8">
        <f t="shared" si="13"/>
        <v>349</v>
      </c>
      <c r="H277" s="8">
        <f t="shared" si="14"/>
        <v>218</v>
      </c>
      <c r="I277" s="4">
        <v>239.59999999999997</v>
      </c>
    </row>
    <row r="278" spans="1:9" x14ac:dyDescent="0.35">
      <c r="A278" s="2" t="s">
        <v>270</v>
      </c>
      <c r="B278" s="2" t="s">
        <v>258</v>
      </c>
      <c r="C278" s="5">
        <v>11886</v>
      </c>
      <c r="D278" s="6">
        <v>1.860306461641648</v>
      </c>
      <c r="E278" s="7">
        <v>-8.1796350399436002E-2</v>
      </c>
      <c r="F278" s="8">
        <f t="shared" si="12"/>
        <v>79</v>
      </c>
      <c r="G278" s="8">
        <f t="shared" si="13"/>
        <v>100</v>
      </c>
      <c r="H278" s="8">
        <f t="shared" si="14"/>
        <v>341</v>
      </c>
      <c r="I278" s="4">
        <v>240.39999999999998</v>
      </c>
    </row>
    <row r="279" spans="1:9" x14ac:dyDescent="0.35">
      <c r="A279" s="2" t="s">
        <v>342</v>
      </c>
      <c r="B279" s="2" t="s">
        <v>328</v>
      </c>
      <c r="C279" s="5">
        <v>3165</v>
      </c>
      <c r="D279" s="6">
        <v>1.1841858298356782</v>
      </c>
      <c r="E279" s="7">
        <v>1.666757941812147E-3</v>
      </c>
      <c r="F279" s="8">
        <f t="shared" si="12"/>
        <v>224</v>
      </c>
      <c r="G279" s="8">
        <f t="shared" si="13"/>
        <v>158</v>
      </c>
      <c r="H279" s="8">
        <f t="shared" si="14"/>
        <v>275</v>
      </c>
      <c r="I279" s="4">
        <v>241.4</v>
      </c>
    </row>
    <row r="280" spans="1:9" x14ac:dyDescent="0.35">
      <c r="A280" s="2" t="s">
        <v>165</v>
      </c>
      <c r="B280" s="2" t="s">
        <v>147</v>
      </c>
      <c r="C280" s="5">
        <v>2104</v>
      </c>
      <c r="D280" s="6">
        <v>0.82008447405837925</v>
      </c>
      <c r="E280" s="7">
        <v>2.4630475624958237E-2</v>
      </c>
      <c r="F280" s="8">
        <f t="shared" si="12"/>
        <v>276</v>
      </c>
      <c r="G280" s="8">
        <f t="shared" si="13"/>
        <v>203</v>
      </c>
      <c r="H280" s="8">
        <f t="shared" si="14"/>
        <v>243</v>
      </c>
      <c r="I280" s="4">
        <v>241.6</v>
      </c>
    </row>
    <row r="281" spans="1:9" x14ac:dyDescent="0.35">
      <c r="A281" s="2" t="s">
        <v>144</v>
      </c>
      <c r="B281" s="2" t="s">
        <v>117</v>
      </c>
      <c r="C281" s="5">
        <v>4058</v>
      </c>
      <c r="D281" s="6">
        <v>2.0148836255053562</v>
      </c>
      <c r="E281" s="7">
        <v>-3.9017031835198668E-2</v>
      </c>
      <c r="F281" s="8">
        <f t="shared" si="12"/>
        <v>191</v>
      </c>
      <c r="G281" s="8">
        <f t="shared" si="13"/>
        <v>85</v>
      </c>
      <c r="H281" s="8">
        <f t="shared" si="14"/>
        <v>314</v>
      </c>
      <c r="I281" s="4">
        <v>243.60000000000002</v>
      </c>
    </row>
    <row r="282" spans="1:9" x14ac:dyDescent="0.35">
      <c r="A282" s="2" t="s">
        <v>318</v>
      </c>
      <c r="B282" s="2" t="s">
        <v>310</v>
      </c>
      <c r="C282" s="5">
        <v>1759</v>
      </c>
      <c r="D282" s="6">
        <v>15.296422832345302</v>
      </c>
      <c r="E282" s="7">
        <v>-2.1195852574935281E-2</v>
      </c>
      <c r="F282" s="8">
        <f t="shared" si="12"/>
        <v>309</v>
      </c>
      <c r="G282" s="8">
        <f t="shared" si="13"/>
        <v>1</v>
      </c>
      <c r="H282" s="8">
        <f t="shared" si="14"/>
        <v>303</v>
      </c>
      <c r="I282" s="4">
        <v>243.79999999999998</v>
      </c>
    </row>
    <row r="283" spans="1:9" x14ac:dyDescent="0.35">
      <c r="A283" s="2" t="s">
        <v>237</v>
      </c>
      <c r="B283" s="2" t="s">
        <v>235</v>
      </c>
      <c r="C283" s="5">
        <v>1834</v>
      </c>
      <c r="D283" s="6">
        <v>1.5509441345048463</v>
      </c>
      <c r="E283" s="7">
        <v>7.8118165364333692E-3</v>
      </c>
      <c r="F283" s="8">
        <f t="shared" si="12"/>
        <v>299</v>
      </c>
      <c r="G283" s="8">
        <f t="shared" si="13"/>
        <v>126</v>
      </c>
      <c r="H283" s="8">
        <f t="shared" si="14"/>
        <v>265</v>
      </c>
      <c r="I283" s="4">
        <v>244</v>
      </c>
    </row>
    <row r="284" spans="1:9" x14ac:dyDescent="0.35">
      <c r="A284" s="2" t="s">
        <v>105</v>
      </c>
      <c r="B284" s="2" t="s">
        <v>94</v>
      </c>
      <c r="C284" s="5">
        <v>3151</v>
      </c>
      <c r="D284" s="6">
        <v>-1.0246973469387757</v>
      </c>
      <c r="E284" s="7">
        <v>4.8256842701879465E-2</v>
      </c>
      <c r="F284" s="8">
        <f t="shared" si="12"/>
        <v>226</v>
      </c>
      <c r="G284" s="8">
        <f t="shared" si="13"/>
        <v>376</v>
      </c>
      <c r="H284" s="8">
        <f t="shared" si="14"/>
        <v>208</v>
      </c>
      <c r="I284" s="4">
        <v>245.2</v>
      </c>
    </row>
    <row r="285" spans="1:9" x14ac:dyDescent="0.35">
      <c r="A285" s="2" t="s">
        <v>274</v>
      </c>
      <c r="B285" s="2" t="s">
        <v>258</v>
      </c>
      <c r="C285" s="5">
        <v>21754</v>
      </c>
      <c r="D285" s="6">
        <v>0.24244620049817139</v>
      </c>
      <c r="E285" s="7">
        <v>-1.9202527293563976E-2</v>
      </c>
      <c r="F285" s="8">
        <f t="shared" si="12"/>
        <v>47</v>
      </c>
      <c r="G285" s="8">
        <f t="shared" si="13"/>
        <v>281</v>
      </c>
      <c r="H285" s="8">
        <f t="shared" si="14"/>
        <v>300</v>
      </c>
      <c r="I285" s="4">
        <v>245.60000000000002</v>
      </c>
    </row>
    <row r="286" spans="1:9" x14ac:dyDescent="0.35">
      <c r="A286" s="2" t="s">
        <v>71</v>
      </c>
      <c r="B286" s="2" t="s">
        <v>61</v>
      </c>
      <c r="C286" s="5">
        <v>6701</v>
      </c>
      <c r="D286" s="6">
        <v>-0.88739508082928986</v>
      </c>
      <c r="E286" s="7">
        <v>2.3695539675462785E-2</v>
      </c>
      <c r="F286" s="8">
        <f t="shared" si="12"/>
        <v>124</v>
      </c>
      <c r="G286" s="8">
        <f t="shared" si="13"/>
        <v>370</v>
      </c>
      <c r="H286" s="8">
        <f t="shared" si="14"/>
        <v>246</v>
      </c>
      <c r="I286" s="4">
        <v>246.39999999999998</v>
      </c>
    </row>
    <row r="287" spans="1:9" x14ac:dyDescent="0.35">
      <c r="A287" s="2" t="s">
        <v>141</v>
      </c>
      <c r="B287" s="2" t="s">
        <v>117</v>
      </c>
      <c r="C287" s="5">
        <v>3891</v>
      </c>
      <c r="D287" s="6">
        <v>-0.39155318994371607</v>
      </c>
      <c r="E287" s="7">
        <v>3.1745987613190474E-2</v>
      </c>
      <c r="F287" s="8">
        <f t="shared" si="12"/>
        <v>198</v>
      </c>
      <c r="G287" s="8">
        <f t="shared" si="13"/>
        <v>338</v>
      </c>
      <c r="H287" s="8">
        <f t="shared" si="14"/>
        <v>233</v>
      </c>
      <c r="I287" s="4">
        <v>247</v>
      </c>
    </row>
    <row r="288" spans="1:9" x14ac:dyDescent="0.35">
      <c r="A288" s="2" t="s">
        <v>378</v>
      </c>
      <c r="B288" s="2" t="s">
        <v>372</v>
      </c>
      <c r="C288" s="5">
        <v>2721</v>
      </c>
      <c r="D288" s="6">
        <v>3.2896539370628046</v>
      </c>
      <c r="E288" s="7">
        <v>-4.0163186634475601E-2</v>
      </c>
      <c r="F288" s="8">
        <f t="shared" si="12"/>
        <v>241</v>
      </c>
      <c r="G288" s="8">
        <f t="shared" si="13"/>
        <v>41</v>
      </c>
      <c r="H288" s="8">
        <f t="shared" si="14"/>
        <v>318</v>
      </c>
      <c r="I288" s="4">
        <v>247.2</v>
      </c>
    </row>
    <row r="289" spans="1:9" x14ac:dyDescent="0.35">
      <c r="A289" s="2" t="s">
        <v>410</v>
      </c>
      <c r="B289" s="2" t="s">
        <v>409</v>
      </c>
      <c r="C289" s="5">
        <v>38119</v>
      </c>
      <c r="D289" s="6">
        <v>1.7624781798809563</v>
      </c>
      <c r="E289" s="7">
        <v>-0.17420112151436762</v>
      </c>
      <c r="F289" s="8">
        <f t="shared" si="12"/>
        <v>25</v>
      </c>
      <c r="G289" s="8">
        <f t="shared" si="13"/>
        <v>108</v>
      </c>
      <c r="H289" s="8">
        <f t="shared" si="14"/>
        <v>372</v>
      </c>
      <c r="I289" s="4">
        <v>249.79999999999998</v>
      </c>
    </row>
    <row r="290" spans="1:9" x14ac:dyDescent="0.35">
      <c r="A290" s="2" t="s">
        <v>146</v>
      </c>
      <c r="B290" s="2" t="s">
        <v>147</v>
      </c>
      <c r="C290" s="5">
        <v>7312</v>
      </c>
      <c r="D290" s="6">
        <v>1.0568017562867027</v>
      </c>
      <c r="E290" s="7">
        <v>-4.3285407129945108E-2</v>
      </c>
      <c r="F290" s="8">
        <f t="shared" si="12"/>
        <v>119</v>
      </c>
      <c r="G290" s="8">
        <f t="shared" si="13"/>
        <v>174</v>
      </c>
      <c r="H290" s="8">
        <f t="shared" si="14"/>
        <v>319</v>
      </c>
      <c r="I290" s="4">
        <v>250</v>
      </c>
    </row>
    <row r="291" spans="1:9" x14ac:dyDescent="0.35">
      <c r="A291" s="2" t="s">
        <v>384</v>
      </c>
      <c r="B291" s="2" t="s">
        <v>372</v>
      </c>
      <c r="C291" s="5">
        <v>10857</v>
      </c>
      <c r="D291" s="6">
        <v>0.73242259987445535</v>
      </c>
      <c r="E291" s="7">
        <v>-3.9280330654460016E-2</v>
      </c>
      <c r="F291" s="8">
        <f t="shared" si="12"/>
        <v>87</v>
      </c>
      <c r="G291" s="8">
        <f t="shared" si="13"/>
        <v>216</v>
      </c>
      <c r="H291" s="8">
        <f t="shared" si="14"/>
        <v>316</v>
      </c>
      <c r="I291" s="4">
        <v>250.2</v>
      </c>
    </row>
    <row r="292" spans="1:9" x14ac:dyDescent="0.35">
      <c r="A292" s="2" t="s">
        <v>98</v>
      </c>
      <c r="B292" s="2" t="s">
        <v>94</v>
      </c>
      <c r="C292" s="5">
        <v>2753</v>
      </c>
      <c r="D292" s="6">
        <v>1.5894011391045</v>
      </c>
      <c r="E292" s="7">
        <v>-1.8722480923634599E-2</v>
      </c>
      <c r="F292" s="8">
        <f t="shared" si="12"/>
        <v>238</v>
      </c>
      <c r="G292" s="8">
        <f t="shared" si="13"/>
        <v>123</v>
      </c>
      <c r="H292" s="8">
        <f t="shared" si="14"/>
        <v>297</v>
      </c>
      <c r="I292" s="4">
        <v>250.39999999999998</v>
      </c>
    </row>
    <row r="293" spans="1:9" x14ac:dyDescent="0.35">
      <c r="A293" s="2" t="s">
        <v>363</v>
      </c>
      <c r="B293" s="2" t="s">
        <v>349</v>
      </c>
      <c r="C293" s="5">
        <v>1304</v>
      </c>
      <c r="D293" s="6">
        <v>2.092861159651993</v>
      </c>
      <c r="E293" s="7">
        <v>2.3330800486012215E-3</v>
      </c>
      <c r="F293" s="8">
        <f t="shared" si="12"/>
        <v>350</v>
      </c>
      <c r="G293" s="8">
        <f t="shared" si="13"/>
        <v>81</v>
      </c>
      <c r="H293" s="8">
        <f t="shared" si="14"/>
        <v>274</v>
      </c>
      <c r="I293" s="4">
        <v>250.60000000000002</v>
      </c>
    </row>
    <row r="294" spans="1:9" x14ac:dyDescent="0.35">
      <c r="A294" s="2" t="s">
        <v>263</v>
      </c>
      <c r="B294" s="2" t="s">
        <v>258</v>
      </c>
      <c r="C294" s="5">
        <v>47644</v>
      </c>
      <c r="D294" s="6">
        <v>0.48770188634308204</v>
      </c>
      <c r="E294" s="7">
        <v>-6.2468951144402873E-2</v>
      </c>
      <c r="F294" s="8">
        <f t="shared" si="12"/>
        <v>20</v>
      </c>
      <c r="G294" s="8">
        <f t="shared" si="13"/>
        <v>250</v>
      </c>
      <c r="H294" s="8">
        <f t="shared" si="14"/>
        <v>329</v>
      </c>
      <c r="I294" s="4">
        <v>251.4</v>
      </c>
    </row>
    <row r="295" spans="1:9" x14ac:dyDescent="0.35">
      <c r="A295" s="2" t="s">
        <v>311</v>
      </c>
      <c r="B295" s="2" t="s">
        <v>310</v>
      </c>
      <c r="C295" s="5">
        <v>2536</v>
      </c>
      <c r="D295" s="6">
        <v>10.204446150382969</v>
      </c>
      <c r="E295" s="7">
        <v>-6.8341017109972535E-2</v>
      </c>
      <c r="F295" s="8">
        <f t="shared" si="12"/>
        <v>256</v>
      </c>
      <c r="G295" s="8">
        <f t="shared" si="13"/>
        <v>4</v>
      </c>
      <c r="H295" s="8">
        <f t="shared" si="14"/>
        <v>334</v>
      </c>
      <c r="I295" s="4">
        <v>252.4</v>
      </c>
    </row>
    <row r="296" spans="1:9" x14ac:dyDescent="0.35">
      <c r="A296" s="2" t="s">
        <v>350</v>
      </c>
      <c r="B296" s="2" t="s">
        <v>349</v>
      </c>
      <c r="C296" s="5">
        <v>2155</v>
      </c>
      <c r="D296" s="6">
        <v>0.14642299464229946</v>
      </c>
      <c r="E296" s="7">
        <v>3.1319057631778779E-2</v>
      </c>
      <c r="F296" s="8">
        <f t="shared" si="12"/>
        <v>273</v>
      </c>
      <c r="G296" s="8">
        <f t="shared" si="13"/>
        <v>295</v>
      </c>
      <c r="H296" s="8">
        <f t="shared" si="14"/>
        <v>234</v>
      </c>
      <c r="I296" s="4">
        <v>254</v>
      </c>
    </row>
    <row r="297" spans="1:9" x14ac:dyDescent="0.35">
      <c r="A297" s="2" t="s">
        <v>50</v>
      </c>
      <c r="B297" s="2" t="s">
        <v>43</v>
      </c>
      <c r="C297" s="5">
        <v>6185</v>
      </c>
      <c r="D297" s="6">
        <v>1.1712904145717551</v>
      </c>
      <c r="E297" s="7">
        <v>-5.4597733990749742E-2</v>
      </c>
      <c r="F297" s="8">
        <f t="shared" si="12"/>
        <v>134</v>
      </c>
      <c r="G297" s="8">
        <f t="shared" si="13"/>
        <v>162</v>
      </c>
      <c r="H297" s="8">
        <f t="shared" si="14"/>
        <v>326</v>
      </c>
      <c r="I297" s="4">
        <v>254.8</v>
      </c>
    </row>
    <row r="298" spans="1:9" x14ac:dyDescent="0.35">
      <c r="A298" s="2" t="s">
        <v>275</v>
      </c>
      <c r="B298" s="2" t="s">
        <v>258</v>
      </c>
      <c r="C298" s="5">
        <v>5168</v>
      </c>
      <c r="D298" s="6">
        <v>-8.9653398938580015E-2</v>
      </c>
      <c r="E298" s="7">
        <v>3.796939701104618E-3</v>
      </c>
      <c r="F298" s="8">
        <f t="shared" si="12"/>
        <v>153</v>
      </c>
      <c r="G298" s="8">
        <f t="shared" si="13"/>
        <v>312</v>
      </c>
      <c r="H298" s="8">
        <f t="shared" si="14"/>
        <v>273</v>
      </c>
      <c r="I298" s="4">
        <v>256.79999999999995</v>
      </c>
    </row>
    <row r="299" spans="1:9" x14ac:dyDescent="0.35">
      <c r="A299" s="2" t="s">
        <v>219</v>
      </c>
      <c r="B299" s="2" t="s">
        <v>147</v>
      </c>
      <c r="C299" s="5">
        <v>2571</v>
      </c>
      <c r="D299" s="6">
        <v>-0.58511858089875046</v>
      </c>
      <c r="E299" s="7">
        <v>3.5255783463505885E-2</v>
      </c>
      <c r="F299" s="8">
        <f t="shared" si="12"/>
        <v>251</v>
      </c>
      <c r="G299" s="8">
        <f t="shared" si="13"/>
        <v>354</v>
      </c>
      <c r="H299" s="8">
        <f t="shared" si="14"/>
        <v>228</v>
      </c>
      <c r="I299" s="4">
        <v>257.79999999999995</v>
      </c>
    </row>
    <row r="300" spans="1:9" x14ac:dyDescent="0.35">
      <c r="A300" s="2" t="s">
        <v>74</v>
      </c>
      <c r="B300" s="2" t="s">
        <v>61</v>
      </c>
      <c r="C300" s="5">
        <v>12204</v>
      </c>
      <c r="D300" s="6">
        <v>2.2552686948236427</v>
      </c>
      <c r="E300" s="7">
        <v>-0.2258524871159574</v>
      </c>
      <c r="F300" s="8">
        <f t="shared" si="12"/>
        <v>76</v>
      </c>
      <c r="G300" s="8">
        <f t="shared" si="13"/>
        <v>70</v>
      </c>
      <c r="H300" s="8">
        <f t="shared" si="14"/>
        <v>382</v>
      </c>
      <c r="I300" s="4">
        <v>258.39999999999998</v>
      </c>
    </row>
    <row r="301" spans="1:9" x14ac:dyDescent="0.35">
      <c r="A301" s="2" t="s">
        <v>68</v>
      </c>
      <c r="B301" s="2" t="s">
        <v>61</v>
      </c>
      <c r="C301" s="5">
        <v>10737</v>
      </c>
      <c r="D301" s="6">
        <v>1.7421528997646547</v>
      </c>
      <c r="E301" s="7">
        <v>-0.15991775864570035</v>
      </c>
      <c r="F301" s="8">
        <f t="shared" si="12"/>
        <v>88</v>
      </c>
      <c r="G301" s="8">
        <f t="shared" si="13"/>
        <v>109</v>
      </c>
      <c r="H301" s="8">
        <f t="shared" si="14"/>
        <v>365</v>
      </c>
      <c r="I301" s="4">
        <v>258.39999999999998</v>
      </c>
    </row>
    <row r="302" spans="1:9" x14ac:dyDescent="0.35">
      <c r="A302" s="2" t="s">
        <v>76</v>
      </c>
      <c r="B302" s="2" t="s">
        <v>61</v>
      </c>
      <c r="C302" s="5">
        <v>7494</v>
      </c>
      <c r="D302" s="6">
        <v>2.9438419306602994</v>
      </c>
      <c r="E302" s="7">
        <v>-0.20650933602292854</v>
      </c>
      <c r="F302" s="8">
        <f t="shared" si="12"/>
        <v>117</v>
      </c>
      <c r="G302" s="8">
        <f t="shared" si="13"/>
        <v>48</v>
      </c>
      <c r="H302" s="8">
        <f t="shared" si="14"/>
        <v>378</v>
      </c>
      <c r="I302" s="4">
        <v>259.79999999999995</v>
      </c>
    </row>
    <row r="303" spans="1:9" x14ac:dyDescent="0.35">
      <c r="A303" s="2" t="s">
        <v>284</v>
      </c>
      <c r="B303" s="2" t="s">
        <v>283</v>
      </c>
      <c r="C303" s="5">
        <v>1216</v>
      </c>
      <c r="D303" s="6">
        <v>2.0201095565179745</v>
      </c>
      <c r="E303" s="7">
        <v>-9.5840204653113714E-3</v>
      </c>
      <c r="F303" s="8">
        <f t="shared" si="12"/>
        <v>363</v>
      </c>
      <c r="G303" s="8">
        <f t="shared" si="13"/>
        <v>84</v>
      </c>
      <c r="H303" s="8">
        <f t="shared" si="14"/>
        <v>284</v>
      </c>
      <c r="I303" s="4">
        <v>259.8</v>
      </c>
    </row>
    <row r="304" spans="1:9" x14ac:dyDescent="0.35">
      <c r="A304" s="2" t="s">
        <v>329</v>
      </c>
      <c r="B304" s="2" t="s">
        <v>328</v>
      </c>
      <c r="C304" s="5">
        <v>9675</v>
      </c>
      <c r="D304" s="6">
        <v>1.6079772833712309</v>
      </c>
      <c r="E304" s="7">
        <v>-0.15084413550794917</v>
      </c>
      <c r="F304" s="8">
        <f t="shared" si="12"/>
        <v>94</v>
      </c>
      <c r="G304" s="8">
        <f t="shared" si="13"/>
        <v>122</v>
      </c>
      <c r="H304" s="8">
        <f t="shared" si="14"/>
        <v>364</v>
      </c>
      <c r="I304" s="4">
        <v>261.60000000000002</v>
      </c>
    </row>
    <row r="305" spans="1:9" x14ac:dyDescent="0.35">
      <c r="A305" s="2" t="s">
        <v>265</v>
      </c>
      <c r="B305" s="2" t="s">
        <v>258</v>
      </c>
      <c r="C305" s="5">
        <v>1599</v>
      </c>
      <c r="D305" s="6">
        <v>0.52516169051719286</v>
      </c>
      <c r="E305" s="7">
        <v>1.9148014874953434E-2</v>
      </c>
      <c r="F305" s="8">
        <f t="shared" si="12"/>
        <v>322</v>
      </c>
      <c r="G305" s="8">
        <f t="shared" si="13"/>
        <v>244</v>
      </c>
      <c r="H305" s="8">
        <f t="shared" si="14"/>
        <v>249</v>
      </c>
      <c r="I305" s="4">
        <v>262.60000000000002</v>
      </c>
    </row>
    <row r="306" spans="1:9" x14ac:dyDescent="0.35">
      <c r="A306" s="2" t="s">
        <v>251</v>
      </c>
      <c r="B306" s="2" t="s">
        <v>235</v>
      </c>
      <c r="C306" s="5">
        <v>1088</v>
      </c>
      <c r="D306" s="6">
        <v>-0.50349628985028461</v>
      </c>
      <c r="E306" s="7">
        <v>5.4374943160997002E-2</v>
      </c>
      <c r="F306" s="8">
        <f t="shared" si="12"/>
        <v>382</v>
      </c>
      <c r="G306" s="8">
        <f t="shared" si="13"/>
        <v>347</v>
      </c>
      <c r="H306" s="8">
        <f t="shared" si="14"/>
        <v>197</v>
      </c>
      <c r="I306" s="4">
        <v>264</v>
      </c>
    </row>
    <row r="307" spans="1:9" x14ac:dyDescent="0.35">
      <c r="A307" s="2" t="s">
        <v>184</v>
      </c>
      <c r="B307" s="2" t="s">
        <v>147</v>
      </c>
      <c r="C307" s="5">
        <v>1099</v>
      </c>
      <c r="D307" s="6">
        <v>0.86358969362088966</v>
      </c>
      <c r="E307" s="7">
        <v>1.8411334503446009E-2</v>
      </c>
      <c r="F307" s="8">
        <f t="shared" si="12"/>
        <v>378</v>
      </c>
      <c r="G307" s="8">
        <f t="shared" si="13"/>
        <v>190</v>
      </c>
      <c r="H307" s="8">
        <f t="shared" si="14"/>
        <v>251</v>
      </c>
      <c r="I307" s="4">
        <v>264.2</v>
      </c>
    </row>
    <row r="308" spans="1:9" x14ac:dyDescent="0.35">
      <c r="A308" s="2" t="s">
        <v>18</v>
      </c>
      <c r="B308" s="2" t="s">
        <v>9</v>
      </c>
      <c r="C308" s="5">
        <v>6471</v>
      </c>
      <c r="D308" s="6">
        <v>3.61597630452215</v>
      </c>
      <c r="E308" s="7">
        <v>-0.26428806835243168</v>
      </c>
      <c r="F308" s="8">
        <f t="shared" si="12"/>
        <v>127</v>
      </c>
      <c r="G308" s="8">
        <f t="shared" si="13"/>
        <v>38</v>
      </c>
      <c r="H308" s="8">
        <f t="shared" si="14"/>
        <v>386</v>
      </c>
      <c r="I308" s="4">
        <v>264.60000000000002</v>
      </c>
    </row>
    <row r="309" spans="1:9" x14ac:dyDescent="0.35">
      <c r="A309" s="2" t="s">
        <v>127</v>
      </c>
      <c r="B309" s="2" t="s">
        <v>117</v>
      </c>
      <c r="C309" s="5">
        <v>1813</v>
      </c>
      <c r="D309" s="6">
        <v>3.3548626427815731</v>
      </c>
      <c r="E309" s="7">
        <v>-5.6045855284618362E-2</v>
      </c>
      <c r="F309" s="8">
        <f t="shared" si="12"/>
        <v>302</v>
      </c>
      <c r="G309" s="8">
        <f t="shared" si="13"/>
        <v>40</v>
      </c>
      <c r="H309" s="8">
        <f t="shared" si="14"/>
        <v>328</v>
      </c>
      <c r="I309" s="4">
        <v>265.2</v>
      </c>
    </row>
    <row r="310" spans="1:9" x14ac:dyDescent="0.35">
      <c r="A310" s="2" t="s">
        <v>292</v>
      </c>
      <c r="B310" s="2" t="s">
        <v>283</v>
      </c>
      <c r="C310" s="5">
        <v>4671</v>
      </c>
      <c r="D310" s="6">
        <v>0.52305088303477165</v>
      </c>
      <c r="E310" s="7">
        <v>-2.1273172608881175E-2</v>
      </c>
      <c r="F310" s="8">
        <f t="shared" si="12"/>
        <v>168</v>
      </c>
      <c r="G310" s="8">
        <f t="shared" si="13"/>
        <v>246</v>
      </c>
      <c r="H310" s="8">
        <f t="shared" si="14"/>
        <v>304</v>
      </c>
      <c r="I310" s="4">
        <v>265.20000000000005</v>
      </c>
    </row>
    <row r="311" spans="1:9" x14ac:dyDescent="0.35">
      <c r="A311" s="2" t="s">
        <v>72</v>
      </c>
      <c r="B311" s="2" t="s">
        <v>61</v>
      </c>
      <c r="C311" s="5">
        <v>6103</v>
      </c>
      <c r="D311" s="6">
        <v>2.715340463845437</v>
      </c>
      <c r="E311" s="7">
        <v>-0.21339828056619048</v>
      </c>
      <c r="F311" s="8">
        <f t="shared" si="12"/>
        <v>139</v>
      </c>
      <c r="G311" s="8">
        <f t="shared" si="13"/>
        <v>52</v>
      </c>
      <c r="H311" s="8">
        <f t="shared" si="14"/>
        <v>379</v>
      </c>
      <c r="I311" s="4">
        <v>265.60000000000002</v>
      </c>
    </row>
    <row r="312" spans="1:9" x14ac:dyDescent="0.35">
      <c r="A312" s="2" t="s">
        <v>221</v>
      </c>
      <c r="B312" s="2" t="s">
        <v>147</v>
      </c>
      <c r="C312" s="5">
        <v>3326</v>
      </c>
      <c r="D312" s="6">
        <v>0.85594795978710825</v>
      </c>
      <c r="E312" s="7">
        <v>-2.2512030268564298E-2</v>
      </c>
      <c r="F312" s="8">
        <f t="shared" si="12"/>
        <v>219</v>
      </c>
      <c r="G312" s="8">
        <f t="shared" si="13"/>
        <v>194</v>
      </c>
      <c r="H312" s="8">
        <f t="shared" si="14"/>
        <v>305</v>
      </c>
      <c r="I312" s="4">
        <v>265.60000000000002</v>
      </c>
    </row>
    <row r="313" spans="1:9" x14ac:dyDescent="0.35">
      <c r="A313" s="2" t="s">
        <v>326</v>
      </c>
      <c r="B313" s="2" t="s">
        <v>310</v>
      </c>
      <c r="C313" s="5">
        <v>928</v>
      </c>
      <c r="D313" s="6">
        <v>9.3663510840846111</v>
      </c>
      <c r="E313" s="7">
        <v>-3.2163816617149066E-2</v>
      </c>
      <c r="F313" s="8">
        <f t="shared" si="12"/>
        <v>392</v>
      </c>
      <c r="G313" s="8">
        <f t="shared" si="13"/>
        <v>6</v>
      </c>
      <c r="H313" s="8">
        <f t="shared" si="14"/>
        <v>311</v>
      </c>
      <c r="I313" s="4">
        <v>266.2</v>
      </c>
    </row>
    <row r="314" spans="1:9" x14ac:dyDescent="0.35">
      <c r="A314" s="2" t="s">
        <v>197</v>
      </c>
      <c r="B314" s="2" t="s">
        <v>147</v>
      </c>
      <c r="C314" s="5">
        <v>3153</v>
      </c>
      <c r="D314" s="6">
        <v>1.520191429115243</v>
      </c>
      <c r="E314" s="7">
        <v>-5.2782471351365601E-2</v>
      </c>
      <c r="F314" s="8">
        <f t="shared" si="12"/>
        <v>225</v>
      </c>
      <c r="G314" s="8">
        <f t="shared" si="13"/>
        <v>132</v>
      </c>
      <c r="H314" s="8">
        <f t="shared" si="14"/>
        <v>325</v>
      </c>
      <c r="I314" s="4">
        <v>266.39999999999998</v>
      </c>
    </row>
    <row r="315" spans="1:9" x14ac:dyDescent="0.35">
      <c r="A315" s="2" t="s">
        <v>189</v>
      </c>
      <c r="B315" s="2" t="s">
        <v>147</v>
      </c>
      <c r="C315" s="5">
        <v>3923</v>
      </c>
      <c r="D315" s="6">
        <v>0.30393054705008504</v>
      </c>
      <c r="E315" s="7">
        <v>-1.3081933335016949E-2</v>
      </c>
      <c r="F315" s="8">
        <f t="shared" si="12"/>
        <v>197</v>
      </c>
      <c r="G315" s="8">
        <f t="shared" si="13"/>
        <v>273</v>
      </c>
      <c r="H315" s="8">
        <f t="shared" si="14"/>
        <v>289</v>
      </c>
      <c r="I315" s="4">
        <v>267.39999999999998</v>
      </c>
    </row>
    <row r="316" spans="1:9" x14ac:dyDescent="0.35">
      <c r="A316" s="2" t="s">
        <v>273</v>
      </c>
      <c r="B316" s="2" t="s">
        <v>258</v>
      </c>
      <c r="C316" s="5">
        <v>1997</v>
      </c>
      <c r="D316" s="6">
        <v>2.7934382246359641</v>
      </c>
      <c r="E316" s="7">
        <v>-6.57823166380469E-2</v>
      </c>
      <c r="F316" s="8">
        <f t="shared" si="12"/>
        <v>287</v>
      </c>
      <c r="G316" s="8">
        <f t="shared" si="13"/>
        <v>51</v>
      </c>
      <c r="H316" s="8">
        <f t="shared" si="14"/>
        <v>333</v>
      </c>
      <c r="I316" s="4">
        <v>267.39999999999998</v>
      </c>
    </row>
    <row r="317" spans="1:9" x14ac:dyDescent="0.35">
      <c r="A317" s="2" t="s">
        <v>194</v>
      </c>
      <c r="B317" s="2" t="s">
        <v>147</v>
      </c>
      <c r="C317" s="5">
        <v>4745</v>
      </c>
      <c r="D317" s="6">
        <v>1.5205456061635036</v>
      </c>
      <c r="E317" s="7">
        <v>-9.834993634522593E-2</v>
      </c>
      <c r="F317" s="8">
        <f t="shared" si="12"/>
        <v>166</v>
      </c>
      <c r="G317" s="8">
        <f t="shared" si="13"/>
        <v>131</v>
      </c>
      <c r="H317" s="8">
        <f t="shared" si="14"/>
        <v>347</v>
      </c>
      <c r="I317" s="4">
        <v>267.60000000000002</v>
      </c>
    </row>
    <row r="318" spans="1:9" x14ac:dyDescent="0.35">
      <c r="A318" s="2" t="s">
        <v>82</v>
      </c>
      <c r="B318" s="2" t="s">
        <v>61</v>
      </c>
      <c r="C318" s="5">
        <v>1749</v>
      </c>
      <c r="D318" s="6">
        <v>2.0383784218882877</v>
      </c>
      <c r="E318" s="7">
        <v>-3.9156761884663549E-2</v>
      </c>
      <c r="F318" s="8">
        <f t="shared" si="12"/>
        <v>311</v>
      </c>
      <c r="G318" s="8">
        <f t="shared" si="13"/>
        <v>83</v>
      </c>
      <c r="H318" s="8">
        <f t="shared" si="14"/>
        <v>315</v>
      </c>
      <c r="I318" s="4">
        <v>267.8</v>
      </c>
    </row>
    <row r="319" spans="1:9" x14ac:dyDescent="0.35">
      <c r="A319" s="2" t="s">
        <v>313</v>
      </c>
      <c r="B319" s="2" t="s">
        <v>310</v>
      </c>
      <c r="C319" s="5">
        <v>1345</v>
      </c>
      <c r="D319" s="6">
        <v>9.8665613536352232</v>
      </c>
      <c r="E319" s="7">
        <v>-6.2657475225627257E-2</v>
      </c>
      <c r="F319" s="8">
        <f t="shared" si="12"/>
        <v>344</v>
      </c>
      <c r="G319" s="8">
        <f t="shared" si="13"/>
        <v>5</v>
      </c>
      <c r="H319" s="8">
        <f t="shared" si="14"/>
        <v>330</v>
      </c>
      <c r="I319" s="4">
        <v>267.8</v>
      </c>
    </row>
    <row r="320" spans="1:9" x14ac:dyDescent="0.35">
      <c r="A320" s="2" t="s">
        <v>277</v>
      </c>
      <c r="B320" s="2" t="s">
        <v>258</v>
      </c>
      <c r="C320" s="5">
        <v>2503</v>
      </c>
      <c r="D320" s="6">
        <v>-0.4743384483019209</v>
      </c>
      <c r="E320" s="7">
        <v>2.2888421996086095E-2</v>
      </c>
      <c r="F320" s="8">
        <f t="shared" si="12"/>
        <v>258</v>
      </c>
      <c r="G320" s="8">
        <f t="shared" si="13"/>
        <v>343</v>
      </c>
      <c r="H320" s="8">
        <f t="shared" si="14"/>
        <v>247</v>
      </c>
      <c r="I320" s="4">
        <v>268.39999999999998</v>
      </c>
    </row>
    <row r="321" spans="1:9" x14ac:dyDescent="0.35">
      <c r="A321" s="2" t="s">
        <v>78</v>
      </c>
      <c r="B321" s="2" t="s">
        <v>61</v>
      </c>
      <c r="C321" s="5">
        <v>3354</v>
      </c>
      <c r="D321" s="6">
        <v>0.23634158228949576</v>
      </c>
      <c r="E321" s="7">
        <v>-8.5524513457531093E-3</v>
      </c>
      <c r="F321" s="8">
        <f t="shared" si="12"/>
        <v>217</v>
      </c>
      <c r="G321" s="8">
        <f t="shared" si="13"/>
        <v>282</v>
      </c>
      <c r="H321" s="8">
        <f t="shared" si="14"/>
        <v>282</v>
      </c>
      <c r="I321" s="4">
        <v>269</v>
      </c>
    </row>
    <row r="322" spans="1:9" x14ac:dyDescent="0.35">
      <c r="A322" s="2" t="s">
        <v>30</v>
      </c>
      <c r="B322" s="2" t="s">
        <v>24</v>
      </c>
      <c r="C322" s="5">
        <v>1098</v>
      </c>
      <c r="D322" s="6">
        <v>1.9582731316064312</v>
      </c>
      <c r="E322" s="7">
        <v>-1.6568546792047667E-2</v>
      </c>
      <c r="F322" s="8">
        <f t="shared" si="12"/>
        <v>379</v>
      </c>
      <c r="G322" s="8">
        <f t="shared" si="13"/>
        <v>91</v>
      </c>
      <c r="H322" s="8">
        <f t="shared" si="14"/>
        <v>292</v>
      </c>
      <c r="I322" s="4">
        <v>269.2</v>
      </c>
    </row>
    <row r="323" spans="1:9" x14ac:dyDescent="0.35">
      <c r="A323" s="2" t="s">
        <v>166</v>
      </c>
      <c r="B323" s="2" t="s">
        <v>147</v>
      </c>
      <c r="C323" s="5">
        <v>1818</v>
      </c>
      <c r="D323" s="6">
        <v>0.1988584996312609</v>
      </c>
      <c r="E323" s="7">
        <v>1.6316616671201212E-2</v>
      </c>
      <c r="F323" s="8">
        <f t="shared" ref="F323:F386" si="15">RANK(C323,$C$3:$C$404)</f>
        <v>300</v>
      </c>
      <c r="G323" s="8">
        <f t="shared" ref="G323:G386" si="16">RANK(D323,$D$3:$D$404)</f>
        <v>287</v>
      </c>
      <c r="H323" s="8">
        <f t="shared" ref="H323:H386" si="17">RANK(E323,$E$3:$E$404)</f>
        <v>254</v>
      </c>
      <c r="I323" s="4">
        <v>269.8</v>
      </c>
    </row>
    <row r="324" spans="1:9" x14ac:dyDescent="0.35">
      <c r="A324" s="2" t="s">
        <v>250</v>
      </c>
      <c r="B324" s="2" t="s">
        <v>235</v>
      </c>
      <c r="C324" s="5">
        <v>2291</v>
      </c>
      <c r="D324" s="6">
        <v>0.34772118646122568</v>
      </c>
      <c r="E324" s="7">
        <v>4.5666006288616057E-3</v>
      </c>
      <c r="F324" s="8">
        <f t="shared" si="15"/>
        <v>267</v>
      </c>
      <c r="G324" s="8">
        <f t="shared" si="16"/>
        <v>268</v>
      </c>
      <c r="H324" s="8">
        <f t="shared" si="17"/>
        <v>272</v>
      </c>
      <c r="I324" s="4">
        <v>270.2</v>
      </c>
    </row>
    <row r="325" spans="1:9" x14ac:dyDescent="0.35">
      <c r="A325" s="2" t="s">
        <v>108</v>
      </c>
      <c r="B325" s="2" t="s">
        <v>94</v>
      </c>
      <c r="C325" s="5">
        <v>1767</v>
      </c>
      <c r="D325" s="6">
        <v>0.55998829635398739</v>
      </c>
      <c r="E325" s="7">
        <v>6.1731025290545638E-3</v>
      </c>
      <c r="F325" s="8">
        <f t="shared" si="15"/>
        <v>308</v>
      </c>
      <c r="G325" s="8">
        <f t="shared" si="16"/>
        <v>242</v>
      </c>
      <c r="H325" s="8">
        <f t="shared" si="17"/>
        <v>269</v>
      </c>
      <c r="I325" s="4">
        <v>271.39999999999998</v>
      </c>
    </row>
    <row r="326" spans="1:9" x14ac:dyDescent="0.35">
      <c r="A326" s="2" t="s">
        <v>151</v>
      </c>
      <c r="B326" s="2" t="s">
        <v>147</v>
      </c>
      <c r="C326" s="5">
        <v>4998</v>
      </c>
      <c r="D326" s="6">
        <v>0.79870087728256545</v>
      </c>
      <c r="E326" s="7">
        <v>-6.3736059284336455E-2</v>
      </c>
      <c r="F326" s="8">
        <f t="shared" si="15"/>
        <v>160</v>
      </c>
      <c r="G326" s="8">
        <f t="shared" si="16"/>
        <v>206</v>
      </c>
      <c r="H326" s="8">
        <f t="shared" si="17"/>
        <v>331</v>
      </c>
      <c r="I326" s="4">
        <v>271.8</v>
      </c>
    </row>
    <row r="327" spans="1:9" x14ac:dyDescent="0.35">
      <c r="A327" s="2" t="s">
        <v>426</v>
      </c>
      <c r="B327" s="2" t="s">
        <v>409</v>
      </c>
      <c r="C327" s="5">
        <v>3831</v>
      </c>
      <c r="D327" s="6">
        <v>4.2885756254120757</v>
      </c>
      <c r="E327" s="7">
        <v>-0.20577889085446821</v>
      </c>
      <c r="F327" s="8">
        <f t="shared" si="15"/>
        <v>201</v>
      </c>
      <c r="G327" s="8">
        <f t="shared" si="16"/>
        <v>30</v>
      </c>
      <c r="H327" s="8">
        <f t="shared" si="17"/>
        <v>377</v>
      </c>
      <c r="I327" s="4">
        <v>272.39999999999998</v>
      </c>
    </row>
    <row r="328" spans="1:9" x14ac:dyDescent="0.35">
      <c r="A328" s="2" t="s">
        <v>198</v>
      </c>
      <c r="B328" s="2" t="s">
        <v>147</v>
      </c>
      <c r="C328" s="5">
        <v>1875</v>
      </c>
      <c r="D328" s="6">
        <v>1.7839467251109491</v>
      </c>
      <c r="E328" s="7">
        <v>-4.6780223692353573E-2</v>
      </c>
      <c r="F328" s="8">
        <f t="shared" si="15"/>
        <v>293</v>
      </c>
      <c r="G328" s="8">
        <f t="shared" si="16"/>
        <v>107</v>
      </c>
      <c r="H328" s="8">
        <f t="shared" si="17"/>
        <v>322</v>
      </c>
      <c r="I328" s="4">
        <v>273.2</v>
      </c>
    </row>
    <row r="329" spans="1:9" x14ac:dyDescent="0.35">
      <c r="A329" s="2" t="s">
        <v>187</v>
      </c>
      <c r="B329" s="2" t="s">
        <v>147</v>
      </c>
      <c r="C329" s="5">
        <v>2775</v>
      </c>
      <c r="D329" s="6">
        <v>1.0891814613887651</v>
      </c>
      <c r="E329" s="7">
        <v>-4.5814891497136467E-2</v>
      </c>
      <c r="F329" s="8">
        <f t="shared" si="15"/>
        <v>237</v>
      </c>
      <c r="G329" s="8">
        <f t="shared" si="16"/>
        <v>170</v>
      </c>
      <c r="H329" s="8">
        <f t="shared" si="17"/>
        <v>320</v>
      </c>
      <c r="I329" s="4">
        <v>273.39999999999998</v>
      </c>
    </row>
    <row r="330" spans="1:9" x14ac:dyDescent="0.35">
      <c r="A330" s="2" t="s">
        <v>387</v>
      </c>
      <c r="B330" s="2" t="s">
        <v>388</v>
      </c>
      <c r="C330" s="5">
        <v>4435</v>
      </c>
      <c r="D330" s="6">
        <v>1.726325508052624E-2</v>
      </c>
      <c r="E330" s="7">
        <v>-1.6998817877953543E-2</v>
      </c>
      <c r="F330" s="8">
        <f t="shared" si="15"/>
        <v>177</v>
      </c>
      <c r="G330" s="8">
        <f t="shared" si="16"/>
        <v>308</v>
      </c>
      <c r="H330" s="8">
        <f t="shared" si="17"/>
        <v>294</v>
      </c>
      <c r="I330" s="4">
        <v>273.39999999999998</v>
      </c>
    </row>
    <row r="331" spans="1:9" x14ac:dyDescent="0.35">
      <c r="A331" s="2" t="s">
        <v>286</v>
      </c>
      <c r="B331" s="2" t="s">
        <v>283</v>
      </c>
      <c r="C331" s="5">
        <v>5667</v>
      </c>
      <c r="D331" s="6">
        <v>-2.2583228664208077</v>
      </c>
      <c r="E331" s="7">
        <v>-7.8336801089708974E-3</v>
      </c>
      <c r="F331" s="8">
        <f t="shared" si="15"/>
        <v>147</v>
      </c>
      <c r="G331" s="8">
        <f t="shared" si="16"/>
        <v>397</v>
      </c>
      <c r="H331" s="8">
        <f t="shared" si="17"/>
        <v>281</v>
      </c>
      <c r="I331" s="4">
        <v>277.39999999999998</v>
      </c>
    </row>
    <row r="332" spans="1:9" x14ac:dyDescent="0.35">
      <c r="A332" s="2" t="s">
        <v>224</v>
      </c>
      <c r="B332" s="2" t="s">
        <v>147</v>
      </c>
      <c r="C332" s="5">
        <v>4248</v>
      </c>
      <c r="D332" s="6">
        <v>1.8867540785571455</v>
      </c>
      <c r="E332" s="7">
        <v>-0.1683143256046532</v>
      </c>
      <c r="F332" s="8">
        <f t="shared" si="15"/>
        <v>187</v>
      </c>
      <c r="G332" s="8">
        <f t="shared" si="16"/>
        <v>98</v>
      </c>
      <c r="H332" s="8">
        <f t="shared" si="17"/>
        <v>368</v>
      </c>
      <c r="I332" s="4">
        <v>277.79999999999995</v>
      </c>
    </row>
    <row r="333" spans="1:9" x14ac:dyDescent="0.35">
      <c r="A333" s="2" t="s">
        <v>398</v>
      </c>
      <c r="B333" s="2" t="s">
        <v>388</v>
      </c>
      <c r="C333" s="5">
        <v>2080</v>
      </c>
      <c r="D333" s="6">
        <v>1.4112113955579806</v>
      </c>
      <c r="E333" s="7">
        <v>-5.1491237567798054E-2</v>
      </c>
      <c r="F333" s="8">
        <f t="shared" si="15"/>
        <v>280</v>
      </c>
      <c r="G333" s="8">
        <f t="shared" si="16"/>
        <v>140</v>
      </c>
      <c r="H333" s="8">
        <f t="shared" si="17"/>
        <v>324</v>
      </c>
      <c r="I333" s="4">
        <v>278.39999999999998</v>
      </c>
    </row>
    <row r="334" spans="1:9" x14ac:dyDescent="0.35">
      <c r="A334" s="2" t="s">
        <v>323</v>
      </c>
      <c r="B334" s="2" t="s">
        <v>310</v>
      </c>
      <c r="C334" s="5">
        <v>2141</v>
      </c>
      <c r="D334" s="6">
        <v>9.0973263893435732</v>
      </c>
      <c r="E334" s="7">
        <v>-0.17252272926552281</v>
      </c>
      <c r="F334" s="8">
        <f t="shared" si="15"/>
        <v>274</v>
      </c>
      <c r="G334" s="8">
        <f t="shared" si="16"/>
        <v>9</v>
      </c>
      <c r="H334" s="8">
        <f t="shared" si="17"/>
        <v>370</v>
      </c>
      <c r="I334" s="4">
        <v>278.60000000000002</v>
      </c>
    </row>
    <row r="335" spans="1:9" x14ac:dyDescent="0.35">
      <c r="A335" s="2" t="s">
        <v>69</v>
      </c>
      <c r="B335" s="2" t="s">
        <v>61</v>
      </c>
      <c r="C335" s="5">
        <v>1611</v>
      </c>
      <c r="D335" s="6">
        <v>5.9992456578807998</v>
      </c>
      <c r="E335" s="7">
        <v>-0.10838430179098335</v>
      </c>
      <c r="F335" s="8">
        <f t="shared" si="15"/>
        <v>321</v>
      </c>
      <c r="G335" s="8">
        <f t="shared" si="16"/>
        <v>18</v>
      </c>
      <c r="H335" s="8">
        <f t="shared" si="17"/>
        <v>352</v>
      </c>
      <c r="I335" s="4">
        <v>279</v>
      </c>
    </row>
    <row r="336" spans="1:9" x14ac:dyDescent="0.35">
      <c r="A336" s="2" t="s">
        <v>167</v>
      </c>
      <c r="B336" s="2" t="s">
        <v>147</v>
      </c>
      <c r="C336" s="5">
        <v>12948</v>
      </c>
      <c r="D336" s="6">
        <v>-0.10438825648000082</v>
      </c>
      <c r="E336" s="7">
        <v>-7.5754052912651804E-2</v>
      </c>
      <c r="F336" s="8">
        <f t="shared" si="15"/>
        <v>73</v>
      </c>
      <c r="G336" s="8">
        <f t="shared" si="16"/>
        <v>314</v>
      </c>
      <c r="H336" s="8">
        <f t="shared" si="17"/>
        <v>339</v>
      </c>
      <c r="I336" s="4">
        <v>280.8</v>
      </c>
    </row>
    <row r="337" spans="1:9" x14ac:dyDescent="0.35">
      <c r="A337" s="2" t="s">
        <v>40</v>
      </c>
      <c r="B337" s="2" t="s">
        <v>24</v>
      </c>
      <c r="C337" s="5">
        <v>2604</v>
      </c>
      <c r="D337" s="6">
        <v>1.939364137244993</v>
      </c>
      <c r="E337" s="7">
        <v>-0.11436668684158913</v>
      </c>
      <c r="F337" s="8">
        <f t="shared" si="15"/>
        <v>249</v>
      </c>
      <c r="G337" s="8">
        <f t="shared" si="16"/>
        <v>94</v>
      </c>
      <c r="H337" s="8">
        <f t="shared" si="17"/>
        <v>354</v>
      </c>
      <c r="I337" s="4">
        <v>281</v>
      </c>
    </row>
    <row r="338" spans="1:9" x14ac:dyDescent="0.35">
      <c r="A338" s="2" t="s">
        <v>369</v>
      </c>
      <c r="B338" s="2" t="s">
        <v>349</v>
      </c>
      <c r="C338" s="5">
        <v>858</v>
      </c>
      <c r="D338" s="6">
        <v>0.21950939572306222</v>
      </c>
      <c r="E338" s="7">
        <v>2.5236999270723759E-2</v>
      </c>
      <c r="F338" s="8">
        <f t="shared" si="15"/>
        <v>399</v>
      </c>
      <c r="G338" s="8">
        <f t="shared" si="16"/>
        <v>284</v>
      </c>
      <c r="H338" s="8">
        <f t="shared" si="17"/>
        <v>242</v>
      </c>
      <c r="I338" s="4">
        <v>281.8</v>
      </c>
    </row>
    <row r="339" spans="1:9" x14ac:dyDescent="0.35">
      <c r="A339" s="2" t="s">
        <v>413</v>
      </c>
      <c r="B339" s="2" t="s">
        <v>409</v>
      </c>
      <c r="C339" s="5">
        <v>1195</v>
      </c>
      <c r="D339" s="6">
        <v>0.88853637443194089</v>
      </c>
      <c r="E339" s="7">
        <v>-1.0775594779306674E-2</v>
      </c>
      <c r="F339" s="8">
        <f t="shared" si="15"/>
        <v>365</v>
      </c>
      <c r="G339" s="8">
        <f t="shared" si="16"/>
        <v>189</v>
      </c>
      <c r="H339" s="8">
        <f t="shared" si="17"/>
        <v>286</v>
      </c>
      <c r="I339" s="4">
        <v>282.39999999999998</v>
      </c>
    </row>
    <row r="340" spans="1:9" x14ac:dyDescent="0.35">
      <c r="A340" s="2" t="s">
        <v>316</v>
      </c>
      <c r="B340" s="2" t="s">
        <v>310</v>
      </c>
      <c r="C340" s="5">
        <v>945</v>
      </c>
      <c r="D340" s="6">
        <v>9.1747867514037456</v>
      </c>
      <c r="E340" s="7">
        <v>-7.638423848563225E-2</v>
      </c>
      <c r="F340" s="8">
        <f t="shared" si="15"/>
        <v>389</v>
      </c>
      <c r="G340" s="8">
        <f t="shared" si="16"/>
        <v>8</v>
      </c>
      <c r="H340" s="8">
        <f t="shared" si="17"/>
        <v>340</v>
      </c>
      <c r="I340" s="4">
        <v>283.39999999999998</v>
      </c>
    </row>
    <row r="341" spans="1:9" x14ac:dyDescent="0.35">
      <c r="A341" s="2" t="s">
        <v>56</v>
      </c>
      <c r="B341" s="2" t="s">
        <v>43</v>
      </c>
      <c r="C341" s="5">
        <v>5442</v>
      </c>
      <c r="D341" s="6">
        <v>0.92304408932382487</v>
      </c>
      <c r="E341" s="7">
        <v>-0.14109268207153258</v>
      </c>
      <c r="F341" s="8">
        <f t="shared" si="15"/>
        <v>149</v>
      </c>
      <c r="G341" s="8">
        <f t="shared" si="16"/>
        <v>186</v>
      </c>
      <c r="H341" s="8">
        <f t="shared" si="17"/>
        <v>361</v>
      </c>
      <c r="I341" s="4">
        <v>283.60000000000002</v>
      </c>
    </row>
    <row r="342" spans="1:9" x14ac:dyDescent="0.35">
      <c r="A342" s="2" t="s">
        <v>19</v>
      </c>
      <c r="B342" s="2" t="s">
        <v>9</v>
      </c>
      <c r="C342" s="5">
        <v>7974</v>
      </c>
      <c r="D342" s="6">
        <v>6.3418438423070628E-2</v>
      </c>
      <c r="E342" s="7">
        <v>-7.0803101653963973E-2</v>
      </c>
      <c r="F342" s="8">
        <f t="shared" si="15"/>
        <v>109</v>
      </c>
      <c r="G342" s="8">
        <f t="shared" si="16"/>
        <v>303</v>
      </c>
      <c r="H342" s="8">
        <f t="shared" si="17"/>
        <v>336</v>
      </c>
      <c r="I342" s="4">
        <v>284</v>
      </c>
    </row>
    <row r="343" spans="1:9" x14ac:dyDescent="0.35">
      <c r="A343" s="2" t="s">
        <v>407</v>
      </c>
      <c r="B343" s="2" t="s">
        <v>388</v>
      </c>
      <c r="C343" s="5">
        <v>2747</v>
      </c>
      <c r="D343" s="6">
        <v>0.83641542223286969</v>
      </c>
      <c r="E343" s="7">
        <v>-5.5730718898541864E-2</v>
      </c>
      <c r="F343" s="8">
        <f t="shared" si="15"/>
        <v>239</v>
      </c>
      <c r="G343" s="8">
        <f t="shared" si="16"/>
        <v>201</v>
      </c>
      <c r="H343" s="8">
        <f t="shared" si="17"/>
        <v>327</v>
      </c>
      <c r="I343" s="4">
        <v>284.2</v>
      </c>
    </row>
    <row r="344" spans="1:9" x14ac:dyDescent="0.35">
      <c r="A344" s="2" t="s">
        <v>267</v>
      </c>
      <c r="B344" s="2" t="s">
        <v>258</v>
      </c>
      <c r="C344" s="5">
        <v>3753</v>
      </c>
      <c r="D344" s="6">
        <v>0.79019139292995044</v>
      </c>
      <c r="E344" s="7">
        <v>-7.1676892000585246E-2</v>
      </c>
      <c r="F344" s="8">
        <f t="shared" si="15"/>
        <v>203</v>
      </c>
      <c r="G344" s="8">
        <f t="shared" si="16"/>
        <v>208</v>
      </c>
      <c r="H344" s="8">
        <f t="shared" si="17"/>
        <v>337</v>
      </c>
      <c r="I344" s="4">
        <v>284.39999999999998</v>
      </c>
    </row>
    <row r="345" spans="1:9" x14ac:dyDescent="0.35">
      <c r="A345" s="2" t="s">
        <v>220</v>
      </c>
      <c r="B345" s="2" t="s">
        <v>147</v>
      </c>
      <c r="C345" s="5">
        <v>6408</v>
      </c>
      <c r="D345" s="6">
        <v>1.8573300076872472</v>
      </c>
      <c r="E345" s="7">
        <v>-1.7273348298926443</v>
      </c>
      <c r="F345" s="8">
        <f t="shared" si="15"/>
        <v>130</v>
      </c>
      <c r="G345" s="8">
        <f t="shared" si="16"/>
        <v>101</v>
      </c>
      <c r="H345" s="8">
        <f t="shared" si="17"/>
        <v>398</v>
      </c>
      <c r="I345" s="4">
        <v>285</v>
      </c>
    </row>
    <row r="346" spans="1:9" x14ac:dyDescent="0.35">
      <c r="A346" s="2" t="s">
        <v>427</v>
      </c>
      <c r="B346" s="2" t="s">
        <v>409</v>
      </c>
      <c r="C346" s="5">
        <v>1156</v>
      </c>
      <c r="D346" s="6">
        <v>4.0069789638520694</v>
      </c>
      <c r="E346" s="7">
        <v>-8.6191738264252526E-2</v>
      </c>
      <c r="F346" s="8">
        <f t="shared" si="15"/>
        <v>370</v>
      </c>
      <c r="G346" s="8">
        <f t="shared" si="16"/>
        <v>34</v>
      </c>
      <c r="H346" s="8">
        <f t="shared" si="17"/>
        <v>342</v>
      </c>
      <c r="I346" s="4">
        <v>286</v>
      </c>
    </row>
    <row r="347" spans="1:9" x14ac:dyDescent="0.35">
      <c r="A347" s="2" t="s">
        <v>242</v>
      </c>
      <c r="B347" s="2" t="s">
        <v>235</v>
      </c>
      <c r="C347" s="5">
        <v>2263</v>
      </c>
      <c r="D347" s="6">
        <v>1.9447121527490243</v>
      </c>
      <c r="E347" s="7">
        <v>-0.13576999410674417</v>
      </c>
      <c r="F347" s="8">
        <f t="shared" si="15"/>
        <v>269</v>
      </c>
      <c r="G347" s="8">
        <f t="shared" si="16"/>
        <v>93</v>
      </c>
      <c r="H347" s="8">
        <f t="shared" si="17"/>
        <v>359</v>
      </c>
      <c r="I347" s="4">
        <v>287.8</v>
      </c>
    </row>
    <row r="348" spans="1:9" x14ac:dyDescent="0.35">
      <c r="A348" s="2" t="s">
        <v>77</v>
      </c>
      <c r="B348" s="2" t="s">
        <v>61</v>
      </c>
      <c r="C348" s="5">
        <v>1128</v>
      </c>
      <c r="D348" s="6">
        <v>1.9096089764868076</v>
      </c>
      <c r="E348" s="7">
        <v>-4.7205499090134828E-2</v>
      </c>
      <c r="F348" s="8">
        <f t="shared" si="15"/>
        <v>375</v>
      </c>
      <c r="G348" s="8">
        <f t="shared" si="16"/>
        <v>96</v>
      </c>
      <c r="H348" s="8">
        <f t="shared" si="17"/>
        <v>323</v>
      </c>
      <c r="I348" s="4">
        <v>288</v>
      </c>
    </row>
    <row r="349" spans="1:9" x14ac:dyDescent="0.35">
      <c r="A349" s="2" t="s">
        <v>31</v>
      </c>
      <c r="B349" s="2" t="s">
        <v>24</v>
      </c>
      <c r="C349" s="5">
        <v>1375</v>
      </c>
      <c r="D349" s="6">
        <v>1.1082694757789173</v>
      </c>
      <c r="E349" s="7">
        <v>-3.1742375400875766E-2</v>
      </c>
      <c r="F349" s="8">
        <f t="shared" si="15"/>
        <v>343</v>
      </c>
      <c r="G349" s="8">
        <f t="shared" si="16"/>
        <v>168</v>
      </c>
      <c r="H349" s="8">
        <f t="shared" si="17"/>
        <v>310</v>
      </c>
      <c r="I349" s="4">
        <v>288.20000000000005</v>
      </c>
    </row>
    <row r="350" spans="1:9" x14ac:dyDescent="0.35">
      <c r="A350" s="2" t="s">
        <v>399</v>
      </c>
      <c r="B350" s="2" t="s">
        <v>388</v>
      </c>
      <c r="C350" s="5">
        <v>1169</v>
      </c>
      <c r="D350" s="6">
        <v>2.4095754325009624</v>
      </c>
      <c r="E350" s="7">
        <v>-7.5548691141817503E-2</v>
      </c>
      <c r="F350" s="8">
        <f t="shared" si="15"/>
        <v>369</v>
      </c>
      <c r="G350" s="8">
        <f t="shared" si="16"/>
        <v>61</v>
      </c>
      <c r="H350" s="8">
        <f t="shared" si="17"/>
        <v>338</v>
      </c>
      <c r="I350" s="4">
        <v>288.79999999999995</v>
      </c>
    </row>
    <row r="351" spans="1:9" x14ac:dyDescent="0.35">
      <c r="A351" s="2" t="s">
        <v>233</v>
      </c>
      <c r="B351" s="2" t="s">
        <v>232</v>
      </c>
      <c r="C351" s="5">
        <v>1260</v>
      </c>
      <c r="D351" s="6">
        <v>5.7400828301768971</v>
      </c>
      <c r="E351" s="7">
        <v>-0.13303945250345162</v>
      </c>
      <c r="F351" s="8">
        <f t="shared" si="15"/>
        <v>353</v>
      </c>
      <c r="G351" s="8">
        <f t="shared" si="16"/>
        <v>21</v>
      </c>
      <c r="H351" s="8">
        <f t="shared" si="17"/>
        <v>358</v>
      </c>
      <c r="I351" s="4">
        <v>289.60000000000002</v>
      </c>
    </row>
    <row r="352" spans="1:9" x14ac:dyDescent="0.35">
      <c r="A352" s="2" t="s">
        <v>288</v>
      </c>
      <c r="B352" s="2" t="s">
        <v>283</v>
      </c>
      <c r="C352" s="5">
        <v>2533</v>
      </c>
      <c r="D352" s="6">
        <v>8.7220297668961264E-2</v>
      </c>
      <c r="E352" s="7">
        <v>-1.8989550214577156E-2</v>
      </c>
      <c r="F352" s="8">
        <f t="shared" si="15"/>
        <v>257</v>
      </c>
      <c r="G352" s="8">
        <f t="shared" si="16"/>
        <v>300</v>
      </c>
      <c r="H352" s="8">
        <f t="shared" si="17"/>
        <v>299</v>
      </c>
      <c r="I352" s="4">
        <v>290.8</v>
      </c>
    </row>
    <row r="353" spans="1:9" x14ac:dyDescent="0.35">
      <c r="A353" s="2" t="s">
        <v>192</v>
      </c>
      <c r="B353" s="2" t="s">
        <v>147</v>
      </c>
      <c r="C353" s="5">
        <v>897</v>
      </c>
      <c r="D353" s="6">
        <v>1.3705153150944303</v>
      </c>
      <c r="E353" s="7">
        <v>-2.2557897417036399E-2</v>
      </c>
      <c r="F353" s="8">
        <f t="shared" si="15"/>
        <v>395</v>
      </c>
      <c r="G353" s="8">
        <f t="shared" si="16"/>
        <v>142</v>
      </c>
      <c r="H353" s="8">
        <f t="shared" si="17"/>
        <v>306</v>
      </c>
      <c r="I353" s="4">
        <v>291</v>
      </c>
    </row>
    <row r="354" spans="1:9" x14ac:dyDescent="0.35">
      <c r="A354" s="2" t="s">
        <v>210</v>
      </c>
      <c r="B354" s="2" t="s">
        <v>147</v>
      </c>
      <c r="C354" s="5">
        <v>872</v>
      </c>
      <c r="D354" s="6">
        <v>1.7135145700084204</v>
      </c>
      <c r="E354" s="7">
        <v>-3.9554288482910871E-2</v>
      </c>
      <c r="F354" s="8">
        <f t="shared" si="15"/>
        <v>398</v>
      </c>
      <c r="G354" s="8">
        <f t="shared" si="16"/>
        <v>114</v>
      </c>
      <c r="H354" s="8">
        <f t="shared" si="17"/>
        <v>317</v>
      </c>
      <c r="I354" s="4">
        <v>292.60000000000002</v>
      </c>
    </row>
    <row r="355" spans="1:9" x14ac:dyDescent="0.35">
      <c r="A355" s="2" t="s">
        <v>29</v>
      </c>
      <c r="B355" s="2" t="s">
        <v>24</v>
      </c>
      <c r="C355" s="5">
        <v>3410</v>
      </c>
      <c r="D355" s="6">
        <v>0.79514922754639694</v>
      </c>
      <c r="E355" s="7">
        <v>-0.1014005250092046</v>
      </c>
      <c r="F355" s="8">
        <f t="shared" si="15"/>
        <v>214</v>
      </c>
      <c r="G355" s="8">
        <f t="shared" si="16"/>
        <v>207</v>
      </c>
      <c r="H355" s="8">
        <f t="shared" si="17"/>
        <v>349</v>
      </c>
      <c r="I355" s="4">
        <v>293.60000000000002</v>
      </c>
    </row>
    <row r="356" spans="1:9" x14ac:dyDescent="0.35">
      <c r="A356" s="2" t="s">
        <v>339</v>
      </c>
      <c r="B356" s="2" t="s">
        <v>328</v>
      </c>
      <c r="C356" s="5">
        <v>1454</v>
      </c>
      <c r="D356" s="6">
        <v>0.45658440645119813</v>
      </c>
      <c r="E356" s="7">
        <v>-1.7313668062586496E-2</v>
      </c>
      <c r="F356" s="8">
        <f t="shared" si="15"/>
        <v>338</v>
      </c>
      <c r="G356" s="8">
        <f t="shared" si="16"/>
        <v>256</v>
      </c>
      <c r="H356" s="8">
        <f t="shared" si="17"/>
        <v>295</v>
      </c>
      <c r="I356" s="4">
        <v>295.8</v>
      </c>
    </row>
    <row r="357" spans="1:9" x14ac:dyDescent="0.35">
      <c r="A357" s="2" t="s">
        <v>357</v>
      </c>
      <c r="B357" s="2" t="s">
        <v>349</v>
      </c>
      <c r="C357" s="5">
        <v>21534</v>
      </c>
      <c r="D357" s="6">
        <v>-1.6094442458752045</v>
      </c>
      <c r="E357" s="7">
        <v>-0.10475188916322908</v>
      </c>
      <c r="F357" s="8">
        <f t="shared" si="15"/>
        <v>49</v>
      </c>
      <c r="G357" s="8">
        <f t="shared" si="16"/>
        <v>386</v>
      </c>
      <c r="H357" s="8">
        <f t="shared" si="17"/>
        <v>350</v>
      </c>
      <c r="I357" s="4">
        <v>297</v>
      </c>
    </row>
    <row r="358" spans="1:9" x14ac:dyDescent="0.35">
      <c r="A358" s="2" t="s">
        <v>400</v>
      </c>
      <c r="B358" s="2" t="s">
        <v>388</v>
      </c>
      <c r="C358" s="5">
        <v>1252</v>
      </c>
      <c r="D358" s="6">
        <v>-0.11140759402644426</v>
      </c>
      <c r="E358" s="7">
        <v>4.6358946870055373E-3</v>
      </c>
      <c r="F358" s="8">
        <f t="shared" si="15"/>
        <v>356</v>
      </c>
      <c r="G358" s="8">
        <f t="shared" si="16"/>
        <v>316</v>
      </c>
      <c r="H358" s="8">
        <f t="shared" si="17"/>
        <v>271</v>
      </c>
      <c r="I358" s="4">
        <v>297</v>
      </c>
    </row>
    <row r="359" spans="1:9" x14ac:dyDescent="0.35">
      <c r="A359" s="2" t="s">
        <v>243</v>
      </c>
      <c r="B359" s="2" t="s">
        <v>235</v>
      </c>
      <c r="C359" s="5">
        <v>1221</v>
      </c>
      <c r="D359" s="6">
        <v>3.1798626642850145</v>
      </c>
      <c r="E359" s="7">
        <v>-0.14654482696345295</v>
      </c>
      <c r="F359" s="8">
        <f t="shared" si="15"/>
        <v>362</v>
      </c>
      <c r="G359" s="8">
        <f t="shared" si="16"/>
        <v>43</v>
      </c>
      <c r="H359" s="8">
        <f t="shared" si="17"/>
        <v>363</v>
      </c>
      <c r="I359" s="4">
        <v>298.79999999999995</v>
      </c>
    </row>
    <row r="360" spans="1:9" x14ac:dyDescent="0.35">
      <c r="A360" s="2" t="s">
        <v>241</v>
      </c>
      <c r="B360" s="2" t="s">
        <v>235</v>
      </c>
      <c r="C360" s="5">
        <v>937</v>
      </c>
      <c r="D360" s="6">
        <v>-0.11781421538672592</v>
      </c>
      <c r="E360" s="7">
        <v>7.7271086804751032E-3</v>
      </c>
      <c r="F360" s="8">
        <f t="shared" si="15"/>
        <v>391</v>
      </c>
      <c r="G360" s="8">
        <f t="shared" si="16"/>
        <v>317</v>
      </c>
      <c r="H360" s="8">
        <f t="shared" si="17"/>
        <v>266</v>
      </c>
      <c r="I360" s="4">
        <v>301.20000000000005</v>
      </c>
    </row>
    <row r="361" spans="1:9" x14ac:dyDescent="0.35">
      <c r="A361" s="2" t="s">
        <v>397</v>
      </c>
      <c r="B361" s="2" t="s">
        <v>388</v>
      </c>
      <c r="C361" s="5">
        <v>1703</v>
      </c>
      <c r="D361" s="6">
        <v>1.5303377673232066</v>
      </c>
      <c r="E361" s="7">
        <v>-0.13095891876600541</v>
      </c>
      <c r="F361" s="8">
        <f t="shared" si="15"/>
        <v>313</v>
      </c>
      <c r="G361" s="8">
        <f t="shared" si="16"/>
        <v>129</v>
      </c>
      <c r="H361" s="8">
        <f t="shared" si="17"/>
        <v>356</v>
      </c>
      <c r="I361" s="4">
        <v>302</v>
      </c>
    </row>
    <row r="362" spans="1:9" x14ac:dyDescent="0.35">
      <c r="A362" s="2" t="s">
        <v>195</v>
      </c>
      <c r="B362" s="2" t="s">
        <v>147</v>
      </c>
      <c r="C362" s="5">
        <v>17997</v>
      </c>
      <c r="D362" s="6">
        <v>0.16554014535190859</v>
      </c>
      <c r="E362" s="7">
        <v>-0.29017107507310902</v>
      </c>
      <c r="F362" s="8">
        <f t="shared" si="15"/>
        <v>59</v>
      </c>
      <c r="G362" s="8">
        <f t="shared" si="16"/>
        <v>291</v>
      </c>
      <c r="H362" s="8">
        <f t="shared" si="17"/>
        <v>388</v>
      </c>
      <c r="I362" s="4">
        <v>302.79999999999995</v>
      </c>
    </row>
    <row r="363" spans="1:9" x14ac:dyDescent="0.35">
      <c r="A363" s="2" t="s">
        <v>331</v>
      </c>
      <c r="B363" s="2" t="s">
        <v>328</v>
      </c>
      <c r="C363" s="5">
        <v>1138</v>
      </c>
      <c r="D363" s="6">
        <v>2.4514454572663276</v>
      </c>
      <c r="E363" s="7">
        <v>-0.14393912643648776</v>
      </c>
      <c r="F363" s="8">
        <f t="shared" si="15"/>
        <v>373</v>
      </c>
      <c r="G363" s="8">
        <f t="shared" si="16"/>
        <v>60</v>
      </c>
      <c r="H363" s="8">
        <f t="shared" si="17"/>
        <v>362</v>
      </c>
      <c r="I363" s="4">
        <v>303.8</v>
      </c>
    </row>
    <row r="364" spans="1:9" x14ac:dyDescent="0.35">
      <c r="A364" s="2" t="s">
        <v>87</v>
      </c>
      <c r="B364" s="2" t="s">
        <v>84</v>
      </c>
      <c r="C364" s="5">
        <v>1769</v>
      </c>
      <c r="D364" s="6">
        <v>-1.8517416063076411</v>
      </c>
      <c r="E364" s="7">
        <v>-2.8884842243426245E-3</v>
      </c>
      <c r="F364" s="8">
        <f t="shared" si="15"/>
        <v>307</v>
      </c>
      <c r="G364" s="8">
        <f t="shared" si="16"/>
        <v>388</v>
      </c>
      <c r="H364" s="8">
        <f t="shared" si="17"/>
        <v>277</v>
      </c>
      <c r="I364" s="4">
        <v>305.2</v>
      </c>
    </row>
    <row r="365" spans="1:9" x14ac:dyDescent="0.35">
      <c r="A365" s="2" t="s">
        <v>229</v>
      </c>
      <c r="B365" s="2" t="s">
        <v>147</v>
      </c>
      <c r="C365" s="5">
        <v>9627</v>
      </c>
      <c r="D365" s="6">
        <v>-0.17408483560207799</v>
      </c>
      <c r="E365" s="7">
        <v>-0.17294793357184923</v>
      </c>
      <c r="F365" s="8">
        <f t="shared" si="15"/>
        <v>96</v>
      </c>
      <c r="G365" s="8">
        <f t="shared" si="16"/>
        <v>323</v>
      </c>
      <c r="H365" s="8">
        <f t="shared" si="17"/>
        <v>371</v>
      </c>
      <c r="I365" s="4">
        <v>306.39999999999998</v>
      </c>
    </row>
    <row r="366" spans="1:9" x14ac:dyDescent="0.35">
      <c r="A366" s="2" t="s">
        <v>32</v>
      </c>
      <c r="B366" s="2" t="s">
        <v>24</v>
      </c>
      <c r="C366" s="5">
        <v>1133</v>
      </c>
      <c r="D366" s="6">
        <v>2.3960086122549629</v>
      </c>
      <c r="E366" s="7">
        <v>-0.16059042663301537</v>
      </c>
      <c r="F366" s="8">
        <f t="shared" si="15"/>
        <v>374</v>
      </c>
      <c r="G366" s="8">
        <f t="shared" si="16"/>
        <v>63</v>
      </c>
      <c r="H366" s="8">
        <f t="shared" si="17"/>
        <v>366</v>
      </c>
      <c r="I366" s="4">
        <v>307</v>
      </c>
    </row>
    <row r="367" spans="1:9" x14ac:dyDescent="0.35">
      <c r="A367" s="2" t="s">
        <v>383</v>
      </c>
      <c r="B367" s="2" t="s">
        <v>372</v>
      </c>
      <c r="C367" s="5">
        <v>1498</v>
      </c>
      <c r="D367" s="6">
        <v>2.3762986103109269</v>
      </c>
      <c r="E367" s="7">
        <v>-0.21635716702503571</v>
      </c>
      <c r="F367" s="8">
        <f t="shared" si="15"/>
        <v>333</v>
      </c>
      <c r="G367" s="8">
        <f t="shared" si="16"/>
        <v>64</v>
      </c>
      <c r="H367" s="8">
        <f t="shared" si="17"/>
        <v>380</v>
      </c>
      <c r="I367" s="4">
        <v>307.39999999999998</v>
      </c>
    </row>
    <row r="368" spans="1:9" x14ac:dyDescent="0.35">
      <c r="A368" s="2" t="s">
        <v>37</v>
      </c>
      <c r="B368" s="2" t="s">
        <v>24</v>
      </c>
      <c r="C368" s="5">
        <v>1075</v>
      </c>
      <c r="D368" s="6">
        <v>2.8907334911599496</v>
      </c>
      <c r="E368" s="7">
        <v>-0.18965283320595738</v>
      </c>
      <c r="F368" s="8">
        <f t="shared" si="15"/>
        <v>383</v>
      </c>
      <c r="G368" s="8">
        <f t="shared" si="16"/>
        <v>49</v>
      </c>
      <c r="H368" s="8">
        <f t="shared" si="17"/>
        <v>374</v>
      </c>
      <c r="I368" s="4">
        <v>310.8</v>
      </c>
    </row>
    <row r="369" spans="1:9" x14ac:dyDescent="0.35">
      <c r="A369" s="2" t="s">
        <v>190</v>
      </c>
      <c r="B369" s="2" t="s">
        <v>147</v>
      </c>
      <c r="C369" s="5">
        <v>1459</v>
      </c>
      <c r="D369" s="6">
        <v>-0.80724493784538109</v>
      </c>
      <c r="E369" s="7">
        <v>-9.815029637107342E-3</v>
      </c>
      <c r="F369" s="8">
        <f t="shared" si="15"/>
        <v>337</v>
      </c>
      <c r="G369" s="8">
        <f t="shared" si="16"/>
        <v>364</v>
      </c>
      <c r="H369" s="8">
        <f t="shared" si="17"/>
        <v>285</v>
      </c>
      <c r="I369" s="4">
        <v>311.2</v>
      </c>
    </row>
    <row r="370" spans="1:9" x14ac:dyDescent="0.35">
      <c r="A370" s="2" t="s">
        <v>392</v>
      </c>
      <c r="B370" s="2" t="s">
        <v>388</v>
      </c>
      <c r="C370" s="5">
        <v>2318</v>
      </c>
      <c r="D370" s="6">
        <v>1.2456916013436128</v>
      </c>
      <c r="E370" s="7">
        <v>-0.23654697243827205</v>
      </c>
      <c r="F370" s="8">
        <f t="shared" si="15"/>
        <v>266</v>
      </c>
      <c r="G370" s="8">
        <f t="shared" si="16"/>
        <v>153</v>
      </c>
      <c r="H370" s="8">
        <f t="shared" si="17"/>
        <v>384</v>
      </c>
      <c r="I370" s="4">
        <v>314.2</v>
      </c>
    </row>
    <row r="371" spans="1:9" x14ac:dyDescent="0.35">
      <c r="A371" s="2" t="s">
        <v>86</v>
      </c>
      <c r="B371" s="2" t="s">
        <v>84</v>
      </c>
      <c r="C371" s="5">
        <v>1195</v>
      </c>
      <c r="D371" s="6">
        <v>6.3677013471616535</v>
      </c>
      <c r="E371" s="7">
        <v>-1.6523860939318458</v>
      </c>
      <c r="F371" s="8">
        <f t="shared" si="15"/>
        <v>365</v>
      </c>
      <c r="G371" s="8">
        <f t="shared" si="16"/>
        <v>17</v>
      </c>
      <c r="H371" s="8">
        <f t="shared" si="17"/>
        <v>397</v>
      </c>
      <c r="I371" s="4">
        <v>314.60000000000002</v>
      </c>
    </row>
    <row r="372" spans="1:9" x14ac:dyDescent="0.35">
      <c r="A372" s="2" t="s">
        <v>60</v>
      </c>
      <c r="B372" s="2" t="s">
        <v>61</v>
      </c>
      <c r="C372" s="5">
        <v>1052</v>
      </c>
      <c r="D372" s="6">
        <v>5.0613874968271162</v>
      </c>
      <c r="E372" s="7">
        <v>-0.29319900514610464</v>
      </c>
      <c r="F372" s="8">
        <f t="shared" si="15"/>
        <v>384</v>
      </c>
      <c r="G372" s="8">
        <f t="shared" si="16"/>
        <v>23</v>
      </c>
      <c r="H372" s="8">
        <f t="shared" si="17"/>
        <v>389</v>
      </c>
      <c r="I372" s="4">
        <v>314.79999999999995</v>
      </c>
    </row>
    <row r="373" spans="1:9" x14ac:dyDescent="0.35">
      <c r="A373" s="2" t="s">
        <v>252</v>
      </c>
      <c r="B373" s="2" t="s">
        <v>235</v>
      </c>
      <c r="C373" s="5">
        <v>925</v>
      </c>
      <c r="D373" s="6">
        <v>-0.16160214774301665</v>
      </c>
      <c r="E373" s="7">
        <v>-1.3169349329878455E-2</v>
      </c>
      <c r="F373" s="8">
        <f t="shared" si="15"/>
        <v>393</v>
      </c>
      <c r="G373" s="8">
        <f t="shared" si="16"/>
        <v>321</v>
      </c>
      <c r="H373" s="8">
        <f t="shared" si="17"/>
        <v>290</v>
      </c>
      <c r="I373" s="4">
        <v>316.8</v>
      </c>
    </row>
    <row r="374" spans="1:9" x14ac:dyDescent="0.35">
      <c r="A374" s="2" t="s">
        <v>376</v>
      </c>
      <c r="B374" s="2" t="s">
        <v>372</v>
      </c>
      <c r="C374" s="5">
        <v>1237</v>
      </c>
      <c r="D374" s="6">
        <v>1.1774297747160916</v>
      </c>
      <c r="E374" s="7">
        <v>-0.13684346389984992</v>
      </c>
      <c r="F374" s="8">
        <f t="shared" si="15"/>
        <v>358</v>
      </c>
      <c r="G374" s="8">
        <f t="shared" si="16"/>
        <v>161</v>
      </c>
      <c r="H374" s="8">
        <f t="shared" si="17"/>
        <v>360</v>
      </c>
      <c r="I374" s="4">
        <v>319.8</v>
      </c>
    </row>
    <row r="375" spans="1:9" x14ac:dyDescent="0.35">
      <c r="A375" s="2" t="s">
        <v>260</v>
      </c>
      <c r="B375" s="2" t="s">
        <v>258</v>
      </c>
      <c r="C375" s="5">
        <v>909</v>
      </c>
      <c r="D375" s="6">
        <v>4.779346829334739</v>
      </c>
      <c r="E375" s="7">
        <v>-0.44600327615734703</v>
      </c>
      <c r="F375" s="8">
        <f t="shared" si="15"/>
        <v>394</v>
      </c>
      <c r="G375" s="8">
        <f t="shared" si="16"/>
        <v>26</v>
      </c>
      <c r="H375" s="8">
        <f t="shared" si="17"/>
        <v>394</v>
      </c>
      <c r="I375" s="4">
        <v>320.39999999999998</v>
      </c>
    </row>
    <row r="376" spans="1:9" x14ac:dyDescent="0.35">
      <c r="A376" s="2" t="s">
        <v>176</v>
      </c>
      <c r="B376" s="2" t="s">
        <v>147</v>
      </c>
      <c r="C376" s="5">
        <v>1254</v>
      </c>
      <c r="D376" s="6">
        <v>0.45809311023652993</v>
      </c>
      <c r="E376" s="7">
        <v>-6.4680219221007751E-2</v>
      </c>
      <c r="F376" s="8">
        <f t="shared" si="15"/>
        <v>355</v>
      </c>
      <c r="G376" s="8">
        <f t="shared" si="16"/>
        <v>255</v>
      </c>
      <c r="H376" s="8">
        <f t="shared" si="17"/>
        <v>332</v>
      </c>
      <c r="I376" s="4">
        <v>321.2</v>
      </c>
    </row>
    <row r="377" spans="1:9" x14ac:dyDescent="0.35">
      <c r="A377" s="2" t="s">
        <v>368</v>
      </c>
      <c r="B377" s="2" t="s">
        <v>349</v>
      </c>
      <c r="C377" s="5">
        <v>3016</v>
      </c>
      <c r="D377" s="6">
        <v>-0.40846771350100258</v>
      </c>
      <c r="E377" s="7">
        <v>-9.7983093206659988E-2</v>
      </c>
      <c r="F377" s="8">
        <f t="shared" si="15"/>
        <v>230</v>
      </c>
      <c r="G377" s="8">
        <f t="shared" si="16"/>
        <v>339</v>
      </c>
      <c r="H377" s="8">
        <f t="shared" si="17"/>
        <v>346</v>
      </c>
      <c r="I377" s="4">
        <v>321.39999999999998</v>
      </c>
    </row>
    <row r="378" spans="1:9" x14ac:dyDescent="0.35">
      <c r="A378" s="2" t="s">
        <v>389</v>
      </c>
      <c r="B378" s="2" t="s">
        <v>388</v>
      </c>
      <c r="C378" s="5">
        <v>1098</v>
      </c>
      <c r="D378" s="6">
        <v>4.0738415146311295</v>
      </c>
      <c r="E378" s="7">
        <v>-1.9140326864273149</v>
      </c>
      <c r="F378" s="8">
        <f t="shared" si="15"/>
        <v>379</v>
      </c>
      <c r="G378" s="8">
        <f t="shared" si="16"/>
        <v>33</v>
      </c>
      <c r="H378" s="8">
        <f t="shared" si="17"/>
        <v>399</v>
      </c>
      <c r="I378" s="4">
        <v>321.79999999999995</v>
      </c>
    </row>
    <row r="379" spans="1:9" x14ac:dyDescent="0.35">
      <c r="A379" s="2" t="s">
        <v>23</v>
      </c>
      <c r="B379" s="2" t="s">
        <v>24</v>
      </c>
      <c r="C379" s="5">
        <v>983</v>
      </c>
      <c r="D379" s="6">
        <v>2.5904123968525803</v>
      </c>
      <c r="E379" s="7">
        <v>-0.30388976497493758</v>
      </c>
      <c r="F379" s="8">
        <f t="shared" si="15"/>
        <v>387</v>
      </c>
      <c r="G379" s="8">
        <f t="shared" si="16"/>
        <v>56</v>
      </c>
      <c r="H379" s="8">
        <f t="shared" si="17"/>
        <v>390</v>
      </c>
      <c r="I379" s="4">
        <v>322.60000000000002</v>
      </c>
    </row>
    <row r="380" spans="1:9" x14ac:dyDescent="0.35">
      <c r="A380" s="2" t="s">
        <v>172</v>
      </c>
      <c r="B380" s="2" t="s">
        <v>147</v>
      </c>
      <c r="C380" s="5">
        <v>1489</v>
      </c>
      <c r="D380" s="6">
        <v>2.0863597302803321</v>
      </c>
      <c r="E380" s="7">
        <v>-2.2251903538714446</v>
      </c>
      <c r="F380" s="8">
        <f t="shared" si="15"/>
        <v>334</v>
      </c>
      <c r="G380" s="8">
        <f t="shared" si="16"/>
        <v>82</v>
      </c>
      <c r="H380" s="8">
        <f t="shared" si="17"/>
        <v>402</v>
      </c>
      <c r="I380" s="4">
        <v>324.39999999999998</v>
      </c>
    </row>
    <row r="381" spans="1:9" x14ac:dyDescent="0.35">
      <c r="A381" s="2" t="s">
        <v>262</v>
      </c>
      <c r="B381" s="2" t="s">
        <v>258</v>
      </c>
      <c r="C381" s="5">
        <v>3210</v>
      </c>
      <c r="D381" s="6">
        <v>0.73770521419675994</v>
      </c>
      <c r="E381" s="7">
        <v>-1.5633854845953647</v>
      </c>
      <c r="F381" s="8">
        <f t="shared" si="15"/>
        <v>223</v>
      </c>
      <c r="G381" s="8">
        <f t="shared" si="16"/>
        <v>215</v>
      </c>
      <c r="H381" s="8">
        <f t="shared" si="17"/>
        <v>396</v>
      </c>
      <c r="I381" s="4">
        <v>325.2</v>
      </c>
    </row>
    <row r="382" spans="1:9" x14ac:dyDescent="0.35">
      <c r="A382" s="2" t="s">
        <v>266</v>
      </c>
      <c r="B382" s="2" t="s">
        <v>258</v>
      </c>
      <c r="C382" s="5">
        <v>963</v>
      </c>
      <c r="D382" s="6">
        <v>0.76250984382509945</v>
      </c>
      <c r="E382" s="7">
        <v>-9.3247173278985462E-2</v>
      </c>
      <c r="F382" s="8">
        <f t="shared" si="15"/>
        <v>388</v>
      </c>
      <c r="G382" s="8">
        <f t="shared" si="16"/>
        <v>211</v>
      </c>
      <c r="H382" s="8">
        <f t="shared" si="17"/>
        <v>345</v>
      </c>
      <c r="I382" s="4">
        <v>326.8</v>
      </c>
    </row>
    <row r="383" spans="1:9" x14ac:dyDescent="0.35">
      <c r="A383" s="2" t="s">
        <v>301</v>
      </c>
      <c r="B383" s="2" t="s">
        <v>283</v>
      </c>
      <c r="C383" s="5">
        <v>886</v>
      </c>
      <c r="D383" s="6">
        <v>-1.0979581811887202</v>
      </c>
      <c r="E383" s="7">
        <v>-1.2435166705609402E-2</v>
      </c>
      <c r="F383" s="8">
        <f t="shared" si="15"/>
        <v>397</v>
      </c>
      <c r="G383" s="8">
        <f t="shared" si="16"/>
        <v>378</v>
      </c>
      <c r="H383" s="8">
        <f t="shared" si="17"/>
        <v>287</v>
      </c>
      <c r="I383" s="4">
        <v>327.2</v>
      </c>
    </row>
    <row r="384" spans="1:9" x14ac:dyDescent="0.35">
      <c r="A384" s="2" t="s">
        <v>116</v>
      </c>
      <c r="B384" s="2" t="s">
        <v>117</v>
      </c>
      <c r="C384" s="5">
        <v>4604</v>
      </c>
      <c r="D384" s="6">
        <v>-2.331673967375238</v>
      </c>
      <c r="E384" s="7">
        <v>-0.13028376394803343</v>
      </c>
      <c r="F384" s="8">
        <f t="shared" si="15"/>
        <v>173</v>
      </c>
      <c r="G384" s="8">
        <f t="shared" si="16"/>
        <v>398</v>
      </c>
      <c r="H384" s="8">
        <f t="shared" si="17"/>
        <v>355</v>
      </c>
      <c r="I384" s="4">
        <v>327.20000000000005</v>
      </c>
    </row>
    <row r="385" spans="1:9" x14ac:dyDescent="0.35">
      <c r="A385" s="2" t="s">
        <v>178</v>
      </c>
      <c r="B385" s="2" t="s">
        <v>147</v>
      </c>
      <c r="C385" s="5">
        <v>1247</v>
      </c>
      <c r="D385" s="6">
        <v>0.68336841278462945</v>
      </c>
      <c r="E385" s="7">
        <v>-0.10954971983195094</v>
      </c>
      <c r="F385" s="8">
        <f t="shared" si="15"/>
        <v>357</v>
      </c>
      <c r="G385" s="8">
        <f t="shared" si="16"/>
        <v>222</v>
      </c>
      <c r="H385" s="8">
        <f t="shared" si="17"/>
        <v>353</v>
      </c>
      <c r="I385" s="4">
        <v>327.60000000000002</v>
      </c>
    </row>
    <row r="386" spans="1:9" x14ac:dyDescent="0.35">
      <c r="A386" s="2" t="s">
        <v>81</v>
      </c>
      <c r="B386" s="2" t="s">
        <v>61</v>
      </c>
      <c r="C386" s="5">
        <v>749</v>
      </c>
      <c r="D386" s="6">
        <v>2.7052330426105335</v>
      </c>
      <c r="E386" s="7">
        <v>-1.3978423939587681</v>
      </c>
      <c r="F386" s="8">
        <f t="shared" si="15"/>
        <v>402</v>
      </c>
      <c r="G386" s="8">
        <f t="shared" si="16"/>
        <v>53</v>
      </c>
      <c r="H386" s="8">
        <f t="shared" si="17"/>
        <v>395</v>
      </c>
      <c r="I386" s="4">
        <v>328</v>
      </c>
    </row>
    <row r="387" spans="1:9" x14ac:dyDescent="0.35">
      <c r="A387" s="2" t="s">
        <v>33</v>
      </c>
      <c r="B387" s="2" t="s">
        <v>24</v>
      </c>
      <c r="C387" s="5">
        <v>3258</v>
      </c>
      <c r="D387" s="6">
        <v>-0.19317101595404609</v>
      </c>
      <c r="E387" s="7">
        <v>-0.16560554975735176</v>
      </c>
      <c r="F387" s="8">
        <f t="shared" ref="F387:F404" si="18">RANK(C387,$C$3:$C$404)</f>
        <v>221</v>
      </c>
      <c r="G387" s="8">
        <f t="shared" ref="G387:G404" si="19">RANK(D387,$D$3:$D$404)</f>
        <v>326</v>
      </c>
      <c r="H387" s="8">
        <f t="shared" ref="H387:H404" si="20">RANK(E387,$E$3:$E$404)</f>
        <v>367</v>
      </c>
      <c r="I387" s="4">
        <v>329.6</v>
      </c>
    </row>
    <row r="388" spans="1:9" x14ac:dyDescent="0.35">
      <c r="A388" s="2" t="s">
        <v>268</v>
      </c>
      <c r="B388" s="2" t="s">
        <v>258</v>
      </c>
      <c r="C388" s="5">
        <v>2745</v>
      </c>
      <c r="D388" s="6">
        <v>0.50514588529148763</v>
      </c>
      <c r="E388" s="7">
        <v>-0.38020223504759254</v>
      </c>
      <c r="F388" s="8">
        <f t="shared" si="18"/>
        <v>240</v>
      </c>
      <c r="G388" s="8">
        <f t="shared" si="19"/>
        <v>249</v>
      </c>
      <c r="H388" s="8">
        <f t="shared" si="20"/>
        <v>391</v>
      </c>
      <c r="I388" s="4">
        <v>332.4</v>
      </c>
    </row>
    <row r="389" spans="1:9" x14ac:dyDescent="0.35">
      <c r="A389" s="2" t="s">
        <v>320</v>
      </c>
      <c r="B389" s="2" t="s">
        <v>310</v>
      </c>
      <c r="C389" s="5">
        <v>1190</v>
      </c>
      <c r="D389" s="6">
        <v>-0.73126590142090775</v>
      </c>
      <c r="E389" s="7">
        <v>-3.7664038005296496E-2</v>
      </c>
      <c r="F389" s="8">
        <f t="shared" si="18"/>
        <v>367</v>
      </c>
      <c r="G389" s="8">
        <f t="shared" si="19"/>
        <v>360</v>
      </c>
      <c r="H389" s="8">
        <f t="shared" si="20"/>
        <v>313</v>
      </c>
      <c r="I389" s="4">
        <v>333.2</v>
      </c>
    </row>
    <row r="390" spans="1:9" x14ac:dyDescent="0.35">
      <c r="A390" s="2" t="s">
        <v>285</v>
      </c>
      <c r="B390" s="2" t="s">
        <v>283</v>
      </c>
      <c r="C390" s="5">
        <v>2064</v>
      </c>
      <c r="D390" s="6">
        <v>0.76995467294752273</v>
      </c>
      <c r="E390" s="7">
        <v>-0.40952309922217245</v>
      </c>
      <c r="F390" s="8">
        <f t="shared" si="18"/>
        <v>283</v>
      </c>
      <c r="G390" s="8">
        <f t="shared" si="19"/>
        <v>210</v>
      </c>
      <c r="H390" s="8">
        <f t="shared" si="20"/>
        <v>392</v>
      </c>
      <c r="I390" s="4">
        <v>333.79999999999995</v>
      </c>
    </row>
    <row r="391" spans="1:9" x14ac:dyDescent="0.35">
      <c r="A391" s="2" t="s">
        <v>280</v>
      </c>
      <c r="B391" s="2" t="s">
        <v>258</v>
      </c>
      <c r="C391" s="5">
        <v>1256</v>
      </c>
      <c r="D391" s="6">
        <v>1.4852188492882146</v>
      </c>
      <c r="E391" s="7">
        <v>-2.0620043320802948</v>
      </c>
      <c r="F391" s="8">
        <f t="shared" si="18"/>
        <v>354</v>
      </c>
      <c r="G391" s="8">
        <f t="shared" si="19"/>
        <v>134</v>
      </c>
      <c r="H391" s="8">
        <f t="shared" si="20"/>
        <v>400</v>
      </c>
      <c r="I391" s="4">
        <v>337.6</v>
      </c>
    </row>
    <row r="392" spans="1:9" x14ac:dyDescent="0.35">
      <c r="A392" s="2" t="s">
        <v>336</v>
      </c>
      <c r="B392" s="2" t="s">
        <v>328</v>
      </c>
      <c r="C392" s="5">
        <v>2065</v>
      </c>
      <c r="D392" s="6">
        <v>-0.71373864053607483</v>
      </c>
      <c r="E392" s="7">
        <v>-0.1047989880975343</v>
      </c>
      <c r="F392" s="8">
        <f t="shared" si="18"/>
        <v>282</v>
      </c>
      <c r="G392" s="8">
        <f t="shared" si="19"/>
        <v>358</v>
      </c>
      <c r="H392" s="8">
        <f t="shared" si="20"/>
        <v>351</v>
      </c>
      <c r="I392" s="4">
        <v>338.6</v>
      </c>
    </row>
    <row r="393" spans="1:9" x14ac:dyDescent="0.35">
      <c r="A393" s="2" t="s">
        <v>36</v>
      </c>
      <c r="B393" s="2" t="s">
        <v>24</v>
      </c>
      <c r="C393" s="5">
        <v>1208</v>
      </c>
      <c r="D393" s="6">
        <v>0.29045733066627699</v>
      </c>
      <c r="E393" s="7">
        <v>-0.13193332904119726</v>
      </c>
      <c r="F393" s="8">
        <f t="shared" si="18"/>
        <v>364</v>
      </c>
      <c r="G393" s="8">
        <f t="shared" si="19"/>
        <v>275</v>
      </c>
      <c r="H393" s="8">
        <f t="shared" si="20"/>
        <v>357</v>
      </c>
      <c r="I393" s="4">
        <v>342</v>
      </c>
    </row>
    <row r="394" spans="1:9" x14ac:dyDescent="0.35">
      <c r="A394" s="2" t="s">
        <v>307</v>
      </c>
      <c r="B394" s="2" t="s">
        <v>283</v>
      </c>
      <c r="C394" s="5">
        <v>2286</v>
      </c>
      <c r="D394" s="6">
        <v>0.33877454029709619</v>
      </c>
      <c r="E394" s="7">
        <v>-0.4410996076102951</v>
      </c>
      <c r="F394" s="8">
        <f t="shared" si="18"/>
        <v>268</v>
      </c>
      <c r="G394" s="8">
        <f t="shared" si="19"/>
        <v>269</v>
      </c>
      <c r="H394" s="8">
        <f t="shared" si="20"/>
        <v>393</v>
      </c>
      <c r="I394" s="4">
        <v>343.2</v>
      </c>
    </row>
    <row r="395" spans="1:9" x14ac:dyDescent="0.35">
      <c r="A395" s="2" t="s">
        <v>300</v>
      </c>
      <c r="B395" s="2" t="s">
        <v>283</v>
      </c>
      <c r="C395" s="5">
        <v>2864</v>
      </c>
      <c r="D395" s="6">
        <v>-0.32609284324489307</v>
      </c>
      <c r="E395" s="7">
        <v>-0.23192366706909628</v>
      </c>
      <c r="F395" s="8">
        <f t="shared" si="18"/>
        <v>235</v>
      </c>
      <c r="G395" s="8">
        <f t="shared" si="19"/>
        <v>334</v>
      </c>
      <c r="H395" s="8">
        <f t="shared" si="20"/>
        <v>383</v>
      </c>
      <c r="I395" s="4">
        <v>343.59999999999997</v>
      </c>
    </row>
    <row r="396" spans="1:9" x14ac:dyDescent="0.35">
      <c r="A396" s="2" t="s">
        <v>287</v>
      </c>
      <c r="B396" s="2" t="s">
        <v>283</v>
      </c>
      <c r="C396" s="5">
        <v>1419</v>
      </c>
      <c r="D396" s="6">
        <v>0.323861043331163</v>
      </c>
      <c r="E396" s="7">
        <v>-0.18790461162827676</v>
      </c>
      <c r="F396" s="8">
        <f t="shared" si="18"/>
        <v>341</v>
      </c>
      <c r="G396" s="8">
        <f t="shared" si="19"/>
        <v>272</v>
      </c>
      <c r="H396" s="8">
        <f t="shared" si="20"/>
        <v>373</v>
      </c>
      <c r="I396" s="4">
        <v>346.4</v>
      </c>
    </row>
    <row r="397" spans="1:9" x14ac:dyDescent="0.35">
      <c r="A397" s="2" t="s">
        <v>196</v>
      </c>
      <c r="B397" s="2" t="s">
        <v>147</v>
      </c>
      <c r="C397" s="5">
        <v>1123</v>
      </c>
      <c r="D397" s="6">
        <v>0.59775426144199473</v>
      </c>
      <c r="E397" s="7">
        <v>-0.19607571131889423</v>
      </c>
      <c r="F397" s="8">
        <f t="shared" si="18"/>
        <v>376</v>
      </c>
      <c r="G397" s="8">
        <f t="shared" si="19"/>
        <v>237</v>
      </c>
      <c r="H397" s="8">
        <f t="shared" si="20"/>
        <v>376</v>
      </c>
      <c r="I397" s="4">
        <v>348.2</v>
      </c>
    </row>
    <row r="398" spans="1:9" x14ac:dyDescent="0.35">
      <c r="A398" s="2" t="s">
        <v>73</v>
      </c>
      <c r="B398" s="2" t="s">
        <v>61</v>
      </c>
      <c r="C398" s="5">
        <v>1145</v>
      </c>
      <c r="D398" s="6">
        <v>1.0701154700231668</v>
      </c>
      <c r="E398" s="7">
        <v>-2.0916307071748248</v>
      </c>
      <c r="F398" s="8">
        <f t="shared" si="18"/>
        <v>372</v>
      </c>
      <c r="G398" s="8">
        <f t="shared" si="19"/>
        <v>173</v>
      </c>
      <c r="H398" s="8">
        <f t="shared" si="20"/>
        <v>401</v>
      </c>
      <c r="I398" s="4">
        <v>349.6</v>
      </c>
    </row>
    <row r="399" spans="1:9" x14ac:dyDescent="0.35">
      <c r="A399" s="2" t="s">
        <v>90</v>
      </c>
      <c r="B399" s="2" t="s">
        <v>84</v>
      </c>
      <c r="C399" s="5">
        <v>1838</v>
      </c>
      <c r="D399" s="6">
        <v>-0.94613484131312642</v>
      </c>
      <c r="E399" s="7">
        <v>-0.19238347050581728</v>
      </c>
      <c r="F399" s="8">
        <f t="shared" si="18"/>
        <v>298</v>
      </c>
      <c r="G399" s="8">
        <f t="shared" si="19"/>
        <v>372</v>
      </c>
      <c r="H399" s="8">
        <f t="shared" si="20"/>
        <v>375</v>
      </c>
      <c r="I399" s="4">
        <v>359</v>
      </c>
    </row>
    <row r="400" spans="1:9" x14ac:dyDescent="0.35">
      <c r="A400" s="2" t="s">
        <v>143</v>
      </c>
      <c r="B400" s="2" t="s">
        <v>117</v>
      </c>
      <c r="C400" s="5">
        <v>810</v>
      </c>
      <c r="D400" s="6">
        <v>-1.296803144322864</v>
      </c>
      <c r="E400" s="7">
        <v>-9.1385821936030176E-2</v>
      </c>
      <c r="F400" s="8">
        <f t="shared" si="18"/>
        <v>401</v>
      </c>
      <c r="G400" s="8">
        <f t="shared" si="19"/>
        <v>382</v>
      </c>
      <c r="H400" s="8">
        <f t="shared" si="20"/>
        <v>343</v>
      </c>
      <c r="I400" s="4">
        <v>362.4</v>
      </c>
    </row>
    <row r="401" spans="1:9" x14ac:dyDescent="0.35">
      <c r="A401" s="2" t="s">
        <v>362</v>
      </c>
      <c r="B401" s="2" t="s">
        <v>349</v>
      </c>
      <c r="C401" s="5">
        <v>1267</v>
      </c>
      <c r="D401" s="6">
        <v>-1.9681860774876168</v>
      </c>
      <c r="E401" s="7">
        <v>-0.1683735655716706</v>
      </c>
      <c r="F401" s="8">
        <f t="shared" si="18"/>
        <v>351</v>
      </c>
      <c r="G401" s="8">
        <f t="shared" si="19"/>
        <v>391</v>
      </c>
      <c r="H401" s="8">
        <f t="shared" si="20"/>
        <v>369</v>
      </c>
      <c r="I401" s="4">
        <v>369.8</v>
      </c>
    </row>
    <row r="402" spans="1:9" x14ac:dyDescent="0.35">
      <c r="A402" s="2" t="s">
        <v>358</v>
      </c>
      <c r="B402" s="2" t="s">
        <v>349</v>
      </c>
      <c r="C402" s="5">
        <v>1567</v>
      </c>
      <c r="D402" s="6">
        <v>-1.8879439787390024</v>
      </c>
      <c r="E402" s="7">
        <v>-0.22183575119162324</v>
      </c>
      <c r="F402" s="8">
        <f t="shared" si="18"/>
        <v>325</v>
      </c>
      <c r="G402" s="8">
        <f t="shared" si="19"/>
        <v>389</v>
      </c>
      <c r="H402" s="8">
        <f t="shared" si="20"/>
        <v>381</v>
      </c>
      <c r="I402" s="4">
        <v>371.4</v>
      </c>
    </row>
    <row r="403" spans="1:9" x14ac:dyDescent="0.35">
      <c r="A403" s="2" t="s">
        <v>193</v>
      </c>
      <c r="B403" s="2" t="s">
        <v>147</v>
      </c>
      <c r="C403" s="5">
        <v>1231</v>
      </c>
      <c r="D403" s="6">
        <v>-0.60357749479401568</v>
      </c>
      <c r="E403" s="7">
        <v>-0.2521493689888421</v>
      </c>
      <c r="F403" s="8">
        <f t="shared" si="18"/>
        <v>360</v>
      </c>
      <c r="G403" s="8">
        <f t="shared" si="19"/>
        <v>355</v>
      </c>
      <c r="H403" s="8">
        <f t="shared" si="20"/>
        <v>385</v>
      </c>
      <c r="I403" s="4">
        <v>374</v>
      </c>
    </row>
    <row r="404" spans="1:9" x14ac:dyDescent="0.35">
      <c r="A404" s="2" t="s">
        <v>130</v>
      </c>
      <c r="B404" s="2" t="s">
        <v>117</v>
      </c>
      <c r="C404" s="5">
        <v>938</v>
      </c>
      <c r="D404" s="6">
        <v>-0.31196681744706511</v>
      </c>
      <c r="E404" s="7">
        <v>-0.27158758878683942</v>
      </c>
      <c r="F404" s="8">
        <f t="shared" si="18"/>
        <v>390</v>
      </c>
      <c r="G404" s="8">
        <f t="shared" si="19"/>
        <v>333</v>
      </c>
      <c r="H404" s="8">
        <f t="shared" si="20"/>
        <v>387</v>
      </c>
      <c r="I404" s="4">
        <v>376.8</v>
      </c>
    </row>
  </sheetData>
  <sortState ref="A4:I404">
    <sortCondition ref="I3"/>
  </sortState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7"/>
  <sheetViews>
    <sheetView workbookViewId="0">
      <selection activeCell="F2" sqref="F2"/>
    </sheetView>
  </sheetViews>
  <sheetFormatPr baseColWidth="10" defaultRowHeight="14.5" x14ac:dyDescent="0.35"/>
  <cols>
    <col min="1" max="1" width="9.1796875" customWidth="1"/>
    <col min="2" max="4" width="8.54296875" bestFit="1" customWidth="1"/>
    <col min="6" max="6" width="8.1796875" customWidth="1"/>
    <col min="7" max="7" width="25.08984375" bestFit="1" customWidth="1"/>
  </cols>
  <sheetData>
    <row r="1" spans="1:7" ht="15" thickBot="1" x14ac:dyDescent="0.4">
      <c r="A1" s="1" t="s">
        <v>435</v>
      </c>
      <c r="F1" s="13" t="s">
        <v>437</v>
      </c>
    </row>
    <row r="2" spans="1:7" ht="15" thickBot="1" x14ac:dyDescent="0.4">
      <c r="B2" t="s">
        <v>1</v>
      </c>
      <c r="C2" t="s">
        <v>2</v>
      </c>
      <c r="D2" t="s">
        <v>3</v>
      </c>
      <c r="F2" s="9" t="s">
        <v>436</v>
      </c>
      <c r="G2" s="10" t="s">
        <v>428</v>
      </c>
    </row>
    <row r="3" spans="1:7" ht="15" thickBot="1" x14ac:dyDescent="0.4">
      <c r="A3" t="s">
        <v>6</v>
      </c>
      <c r="B3">
        <v>0.2</v>
      </c>
      <c r="C3">
        <v>0.2</v>
      </c>
      <c r="D3">
        <v>0.6</v>
      </c>
      <c r="E3" s="3"/>
      <c r="F3" s="11">
        <v>1</v>
      </c>
      <c r="G3" s="12" t="s">
        <v>110</v>
      </c>
    </row>
    <row r="4" spans="1:7" ht="15" thickBot="1" x14ac:dyDescent="0.4">
      <c r="F4" s="11">
        <v>2</v>
      </c>
      <c r="G4" s="12" t="s">
        <v>343</v>
      </c>
    </row>
    <row r="5" spans="1:7" ht="15" thickBot="1" x14ac:dyDescent="0.4">
      <c r="F5" s="11">
        <v>3</v>
      </c>
      <c r="G5" s="12" t="s">
        <v>123</v>
      </c>
    </row>
    <row r="6" spans="1:7" ht="15" thickBot="1" x14ac:dyDescent="0.4">
      <c r="F6" s="11">
        <v>4</v>
      </c>
      <c r="G6" s="12" t="s">
        <v>380</v>
      </c>
    </row>
    <row r="7" spans="1:7" ht="15" thickBot="1" x14ac:dyDescent="0.4">
      <c r="F7" s="11">
        <v>5</v>
      </c>
      <c r="G7" s="12" t="s">
        <v>152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2:Q22"/>
  <sheetViews>
    <sheetView tabSelected="1" workbookViewId="0">
      <selection activeCell="G9" sqref="G9"/>
    </sheetView>
  </sheetViews>
  <sheetFormatPr baseColWidth="10" defaultRowHeight="14.5" x14ac:dyDescent="0.35"/>
  <cols>
    <col min="2" max="11" width="8" customWidth="1"/>
    <col min="12" max="12" width="10.7265625" bestFit="1" customWidth="1"/>
    <col min="13" max="14" width="8" customWidth="1"/>
    <col min="15" max="15" width="12.81640625" bestFit="1" customWidth="1"/>
  </cols>
  <sheetData>
    <row r="2" spans="1:17" x14ac:dyDescent="0.35">
      <c r="A2" t="s">
        <v>438</v>
      </c>
    </row>
    <row r="4" spans="1:17" x14ac:dyDescent="0.35">
      <c r="B4" s="14" t="s">
        <v>439</v>
      </c>
      <c r="C4" s="14" t="s">
        <v>440</v>
      </c>
      <c r="D4" s="14" t="s">
        <v>455</v>
      </c>
      <c r="E4" s="14" t="s">
        <v>441</v>
      </c>
      <c r="F4" s="14" t="s">
        <v>442</v>
      </c>
      <c r="G4" s="14" t="s">
        <v>443</v>
      </c>
      <c r="H4" s="14" t="s">
        <v>444</v>
      </c>
      <c r="I4" s="14" t="s">
        <v>445</v>
      </c>
      <c r="J4" s="14" t="s">
        <v>446</v>
      </c>
      <c r="K4" s="14" t="s">
        <v>447</v>
      </c>
      <c r="L4" s="14" t="s">
        <v>448</v>
      </c>
      <c r="M4" s="14" t="s">
        <v>449</v>
      </c>
      <c r="N4" s="14" t="s">
        <v>450</v>
      </c>
      <c r="O4" s="14" t="s">
        <v>451</v>
      </c>
      <c r="P4" s="14" t="s">
        <v>453</v>
      </c>
      <c r="Q4" s="15" t="s">
        <v>471</v>
      </c>
    </row>
    <row r="5" spans="1:17" x14ac:dyDescent="0.35">
      <c r="B5" s="14">
        <v>1</v>
      </c>
      <c r="C5" s="14">
        <v>1</v>
      </c>
      <c r="D5" s="14">
        <v>0.5</v>
      </c>
      <c r="E5" s="14">
        <v>0.5</v>
      </c>
      <c r="F5" s="14">
        <v>0.5</v>
      </c>
      <c r="G5" s="14">
        <v>1</v>
      </c>
      <c r="H5" s="14">
        <v>1</v>
      </c>
      <c r="I5" s="14">
        <v>1</v>
      </c>
      <c r="J5" s="14">
        <v>1</v>
      </c>
      <c r="K5" s="14">
        <v>3</v>
      </c>
      <c r="L5" s="14">
        <v>3</v>
      </c>
      <c r="M5" s="14">
        <v>3</v>
      </c>
      <c r="N5" s="14">
        <v>1</v>
      </c>
      <c r="O5" s="14">
        <v>3</v>
      </c>
      <c r="P5" s="14">
        <f>SUM(B5:O5)</f>
        <v>20.5</v>
      </c>
    </row>
    <row r="6" spans="1:17" x14ac:dyDescent="0.35">
      <c r="A6" t="s">
        <v>452</v>
      </c>
      <c r="B6">
        <v>1</v>
      </c>
      <c r="C6">
        <v>1</v>
      </c>
      <c r="D6">
        <v>0.5</v>
      </c>
      <c r="E6">
        <v>0.5</v>
      </c>
      <c r="F6">
        <v>0</v>
      </c>
      <c r="G6">
        <v>1</v>
      </c>
      <c r="H6">
        <v>1</v>
      </c>
      <c r="I6">
        <v>1</v>
      </c>
      <c r="J6">
        <v>0</v>
      </c>
      <c r="K6">
        <v>1</v>
      </c>
      <c r="L6">
        <v>1.5</v>
      </c>
      <c r="M6">
        <v>0</v>
      </c>
      <c r="N6">
        <v>1</v>
      </c>
      <c r="O6">
        <v>1.5</v>
      </c>
      <c r="P6">
        <f>SUM(B6:O6)</f>
        <v>11</v>
      </c>
      <c r="Q6">
        <v>11</v>
      </c>
    </row>
    <row r="7" spans="1:17" x14ac:dyDescent="0.35">
      <c r="A7" t="s">
        <v>454</v>
      </c>
      <c r="B7">
        <v>1</v>
      </c>
      <c r="C7">
        <v>1</v>
      </c>
      <c r="D7">
        <v>0.5</v>
      </c>
      <c r="E7">
        <v>0</v>
      </c>
      <c r="F7">
        <v>0</v>
      </c>
      <c r="G7">
        <v>1</v>
      </c>
      <c r="H7">
        <v>0.75</v>
      </c>
      <c r="I7">
        <v>1</v>
      </c>
      <c r="J7">
        <v>1</v>
      </c>
      <c r="K7">
        <v>2</v>
      </c>
      <c r="L7">
        <v>0.5</v>
      </c>
      <c r="N7">
        <v>1</v>
      </c>
      <c r="O7">
        <v>2.5</v>
      </c>
      <c r="P7">
        <f>SUM(B7:O7)</f>
        <v>12.25</v>
      </c>
      <c r="Q7">
        <v>12.5</v>
      </c>
    </row>
    <row r="8" spans="1:17" x14ac:dyDescent="0.35">
      <c r="A8" t="s">
        <v>456</v>
      </c>
      <c r="B8">
        <v>1</v>
      </c>
      <c r="C8">
        <v>1</v>
      </c>
      <c r="D8">
        <v>0.5</v>
      </c>
      <c r="E8">
        <v>0.5</v>
      </c>
      <c r="F8">
        <v>0.5</v>
      </c>
      <c r="G8">
        <v>1</v>
      </c>
      <c r="H8">
        <v>0.5</v>
      </c>
      <c r="I8">
        <v>1</v>
      </c>
      <c r="J8">
        <v>1</v>
      </c>
      <c r="K8">
        <v>3</v>
      </c>
      <c r="L8">
        <v>3</v>
      </c>
      <c r="M8">
        <v>3</v>
      </c>
      <c r="N8">
        <v>1</v>
      </c>
      <c r="O8">
        <v>2.5</v>
      </c>
      <c r="P8">
        <f>SUM(B8:O8)</f>
        <v>19.5</v>
      </c>
      <c r="Q8">
        <v>19.5</v>
      </c>
    </row>
    <row r="9" spans="1:17" x14ac:dyDescent="0.35">
      <c r="A9" t="s">
        <v>457</v>
      </c>
      <c r="B9">
        <v>1</v>
      </c>
      <c r="C9">
        <v>1</v>
      </c>
      <c r="D9">
        <v>0.5</v>
      </c>
      <c r="E9">
        <v>0</v>
      </c>
      <c r="F9">
        <v>0</v>
      </c>
      <c r="G9">
        <v>1</v>
      </c>
      <c r="H9">
        <v>1</v>
      </c>
      <c r="I9">
        <v>0</v>
      </c>
      <c r="J9">
        <v>1</v>
      </c>
      <c r="K9">
        <v>1</v>
      </c>
      <c r="L9">
        <v>1</v>
      </c>
      <c r="M9">
        <v>0</v>
      </c>
      <c r="N9">
        <v>1</v>
      </c>
      <c r="O9">
        <v>0.5</v>
      </c>
      <c r="P9">
        <f>SUM(B9:O9)</f>
        <v>9</v>
      </c>
      <c r="Q9">
        <v>9</v>
      </c>
    </row>
    <row r="10" spans="1:17" x14ac:dyDescent="0.35">
      <c r="A10" t="s">
        <v>458</v>
      </c>
      <c r="B10">
        <v>1</v>
      </c>
      <c r="C10">
        <v>1</v>
      </c>
      <c r="D10">
        <v>0.5</v>
      </c>
      <c r="E10">
        <v>0</v>
      </c>
      <c r="F10">
        <v>0</v>
      </c>
      <c r="G10">
        <v>0</v>
      </c>
      <c r="H10">
        <v>0</v>
      </c>
      <c r="I10">
        <v>0</v>
      </c>
      <c r="J10">
        <v>0.5</v>
      </c>
      <c r="K10">
        <v>1</v>
      </c>
      <c r="L10">
        <v>0</v>
      </c>
      <c r="M10">
        <v>0</v>
      </c>
      <c r="N10">
        <v>1</v>
      </c>
      <c r="O10">
        <v>1</v>
      </c>
      <c r="P10">
        <f t="shared" ref="P10:P22" si="0">SUM(B10:O10)</f>
        <v>6</v>
      </c>
      <c r="Q10">
        <v>6</v>
      </c>
    </row>
    <row r="11" spans="1:17" x14ac:dyDescent="0.35">
      <c r="A11" t="s">
        <v>459</v>
      </c>
      <c r="B11">
        <v>1</v>
      </c>
      <c r="C11">
        <v>1</v>
      </c>
      <c r="D11">
        <v>0.5</v>
      </c>
      <c r="E11">
        <v>0</v>
      </c>
      <c r="F11">
        <v>0</v>
      </c>
      <c r="G11">
        <v>1</v>
      </c>
      <c r="H11">
        <v>1</v>
      </c>
      <c r="I11">
        <v>1</v>
      </c>
      <c r="J11">
        <v>0</v>
      </c>
      <c r="K11">
        <v>3</v>
      </c>
      <c r="L11">
        <v>1.5</v>
      </c>
      <c r="M11">
        <v>0</v>
      </c>
      <c r="N11">
        <v>1</v>
      </c>
      <c r="O11">
        <v>2</v>
      </c>
      <c r="P11">
        <f t="shared" si="0"/>
        <v>13</v>
      </c>
      <c r="Q11">
        <v>13</v>
      </c>
    </row>
    <row r="12" spans="1:17" x14ac:dyDescent="0.35">
      <c r="A12" t="s">
        <v>460</v>
      </c>
      <c r="B12">
        <v>1</v>
      </c>
      <c r="C12">
        <v>1</v>
      </c>
      <c r="D12">
        <v>0.5</v>
      </c>
      <c r="E12">
        <v>0.5</v>
      </c>
      <c r="F12">
        <v>0.5</v>
      </c>
      <c r="G12">
        <v>1</v>
      </c>
      <c r="H12">
        <v>0</v>
      </c>
      <c r="I12">
        <v>1</v>
      </c>
      <c r="J12">
        <v>1</v>
      </c>
      <c r="K12">
        <v>0.5</v>
      </c>
      <c r="L12">
        <v>0</v>
      </c>
      <c r="M12">
        <v>0</v>
      </c>
      <c r="N12">
        <v>0.75</v>
      </c>
      <c r="O12">
        <v>2.5</v>
      </c>
      <c r="P12">
        <f t="shared" si="0"/>
        <v>10.25</v>
      </c>
      <c r="Q12">
        <v>10.5</v>
      </c>
    </row>
    <row r="13" spans="1:17" x14ac:dyDescent="0.35">
      <c r="A13" t="s">
        <v>461</v>
      </c>
      <c r="B13">
        <v>1</v>
      </c>
      <c r="C13">
        <v>1</v>
      </c>
      <c r="D13">
        <v>0.5</v>
      </c>
      <c r="E13">
        <v>0.5</v>
      </c>
      <c r="F13">
        <v>0.25</v>
      </c>
      <c r="G13">
        <v>1</v>
      </c>
      <c r="H13">
        <v>1</v>
      </c>
      <c r="I13">
        <v>1</v>
      </c>
      <c r="J13">
        <v>1</v>
      </c>
      <c r="K13">
        <v>1.5</v>
      </c>
      <c r="L13">
        <v>1.5</v>
      </c>
      <c r="M13">
        <v>0.5</v>
      </c>
      <c r="N13">
        <v>1</v>
      </c>
      <c r="O13">
        <v>0.5</v>
      </c>
      <c r="P13">
        <f t="shared" si="0"/>
        <v>12.25</v>
      </c>
      <c r="Q13">
        <v>12.5</v>
      </c>
    </row>
    <row r="14" spans="1:17" x14ac:dyDescent="0.35">
      <c r="A14" t="s">
        <v>462</v>
      </c>
      <c r="B14">
        <v>1</v>
      </c>
      <c r="C14">
        <v>1</v>
      </c>
      <c r="D14">
        <v>0.5</v>
      </c>
      <c r="E14">
        <v>0</v>
      </c>
      <c r="F14">
        <v>0.25</v>
      </c>
      <c r="G14">
        <v>1</v>
      </c>
      <c r="H14">
        <v>1</v>
      </c>
      <c r="I14">
        <v>1</v>
      </c>
      <c r="J14">
        <v>0.25</v>
      </c>
      <c r="K14">
        <v>1.5</v>
      </c>
      <c r="L14">
        <v>2</v>
      </c>
      <c r="M14">
        <v>3</v>
      </c>
      <c r="N14">
        <v>1</v>
      </c>
      <c r="O14">
        <v>1</v>
      </c>
      <c r="P14">
        <f t="shared" si="0"/>
        <v>14.5</v>
      </c>
      <c r="Q14">
        <v>14.5</v>
      </c>
    </row>
    <row r="15" spans="1:17" x14ac:dyDescent="0.35">
      <c r="A15" t="s">
        <v>463</v>
      </c>
      <c r="B15">
        <v>1</v>
      </c>
      <c r="C15">
        <v>1</v>
      </c>
      <c r="D15">
        <v>0</v>
      </c>
      <c r="E15">
        <v>0.5</v>
      </c>
      <c r="F15">
        <v>0.25</v>
      </c>
      <c r="G15">
        <v>1</v>
      </c>
      <c r="H15">
        <v>1</v>
      </c>
      <c r="I15">
        <v>1</v>
      </c>
      <c r="J15">
        <v>1</v>
      </c>
      <c r="K15">
        <v>1</v>
      </c>
      <c r="L15">
        <v>0.5</v>
      </c>
      <c r="M15">
        <v>0</v>
      </c>
      <c r="N15">
        <v>1</v>
      </c>
      <c r="O15">
        <v>0.5</v>
      </c>
      <c r="P15">
        <f t="shared" si="0"/>
        <v>9.75</v>
      </c>
      <c r="Q15">
        <v>10</v>
      </c>
    </row>
    <row r="16" spans="1:17" x14ac:dyDescent="0.35">
      <c r="A16" t="s">
        <v>464</v>
      </c>
      <c r="B16">
        <v>1</v>
      </c>
      <c r="C16">
        <v>1</v>
      </c>
      <c r="D16">
        <v>0.5</v>
      </c>
      <c r="E16">
        <v>0</v>
      </c>
      <c r="F16">
        <v>0</v>
      </c>
      <c r="G16">
        <v>1</v>
      </c>
      <c r="H16">
        <v>1</v>
      </c>
      <c r="I16">
        <v>1</v>
      </c>
      <c r="J16">
        <v>1</v>
      </c>
      <c r="K16">
        <v>3</v>
      </c>
      <c r="L16">
        <v>1.5</v>
      </c>
      <c r="M16">
        <v>0</v>
      </c>
      <c r="N16">
        <v>1</v>
      </c>
      <c r="O16">
        <v>2</v>
      </c>
      <c r="P16">
        <f t="shared" si="0"/>
        <v>14</v>
      </c>
      <c r="Q16">
        <v>14</v>
      </c>
    </row>
    <row r="17" spans="1:17" x14ac:dyDescent="0.35">
      <c r="A17" t="s">
        <v>465</v>
      </c>
      <c r="B17">
        <v>0.75</v>
      </c>
      <c r="C17">
        <v>1</v>
      </c>
      <c r="D17">
        <v>0.5</v>
      </c>
      <c r="E17">
        <v>0</v>
      </c>
      <c r="F17">
        <v>0.25</v>
      </c>
      <c r="G17">
        <v>1</v>
      </c>
      <c r="H17">
        <v>1</v>
      </c>
      <c r="I17">
        <v>1</v>
      </c>
      <c r="J17">
        <v>1</v>
      </c>
      <c r="K17">
        <v>3</v>
      </c>
      <c r="L17">
        <v>0</v>
      </c>
      <c r="M17">
        <v>0</v>
      </c>
      <c r="O17">
        <v>2.5</v>
      </c>
      <c r="P17">
        <f t="shared" si="0"/>
        <v>12</v>
      </c>
      <c r="Q17">
        <v>12</v>
      </c>
    </row>
    <row r="18" spans="1:17" x14ac:dyDescent="0.35">
      <c r="A18" t="s">
        <v>466</v>
      </c>
      <c r="B18">
        <v>1</v>
      </c>
      <c r="C18">
        <v>1</v>
      </c>
      <c r="D18">
        <v>0.5</v>
      </c>
      <c r="E18">
        <v>0</v>
      </c>
      <c r="F18">
        <v>0.25</v>
      </c>
      <c r="G18">
        <v>1</v>
      </c>
      <c r="H18">
        <v>1</v>
      </c>
      <c r="I18">
        <v>1</v>
      </c>
      <c r="J18">
        <v>1</v>
      </c>
      <c r="K18">
        <v>3</v>
      </c>
      <c r="L18">
        <v>1.5</v>
      </c>
      <c r="M18">
        <v>0</v>
      </c>
      <c r="N18">
        <v>1</v>
      </c>
      <c r="O18">
        <v>1</v>
      </c>
      <c r="P18">
        <f t="shared" si="0"/>
        <v>13.25</v>
      </c>
      <c r="Q18">
        <v>13.5</v>
      </c>
    </row>
    <row r="19" spans="1:17" x14ac:dyDescent="0.35">
      <c r="A19" t="s">
        <v>467</v>
      </c>
      <c r="B19">
        <v>1</v>
      </c>
      <c r="C19">
        <v>1</v>
      </c>
      <c r="D19">
        <v>0.5</v>
      </c>
      <c r="E19">
        <v>0</v>
      </c>
      <c r="F19">
        <v>0</v>
      </c>
      <c r="G19">
        <v>1</v>
      </c>
      <c r="H19">
        <v>1</v>
      </c>
      <c r="I19">
        <v>1</v>
      </c>
      <c r="J19">
        <v>0.5</v>
      </c>
      <c r="K19">
        <v>0</v>
      </c>
      <c r="L19">
        <v>1.5</v>
      </c>
      <c r="M19">
        <v>0</v>
      </c>
      <c r="N19">
        <v>1</v>
      </c>
      <c r="O19">
        <v>2.5</v>
      </c>
      <c r="P19">
        <f t="shared" si="0"/>
        <v>11</v>
      </c>
      <c r="Q19">
        <v>11</v>
      </c>
    </row>
    <row r="20" spans="1:17" x14ac:dyDescent="0.35">
      <c r="A20" t="s">
        <v>468</v>
      </c>
      <c r="B20">
        <v>1</v>
      </c>
      <c r="C20">
        <v>1</v>
      </c>
      <c r="D20">
        <v>0.5</v>
      </c>
      <c r="E20">
        <v>0</v>
      </c>
      <c r="F20">
        <v>0.25</v>
      </c>
      <c r="G20">
        <v>1</v>
      </c>
      <c r="H20">
        <v>1</v>
      </c>
      <c r="I20">
        <v>1</v>
      </c>
      <c r="J20">
        <v>1</v>
      </c>
      <c r="K20">
        <v>0.5</v>
      </c>
      <c r="L20">
        <v>0</v>
      </c>
      <c r="M20">
        <v>0</v>
      </c>
      <c r="N20">
        <v>0</v>
      </c>
      <c r="O20">
        <v>1.5</v>
      </c>
      <c r="P20">
        <f t="shared" si="0"/>
        <v>8.75</v>
      </c>
      <c r="Q20">
        <v>9</v>
      </c>
    </row>
    <row r="21" spans="1:17" x14ac:dyDescent="0.35">
      <c r="A21" t="s">
        <v>469</v>
      </c>
      <c r="B21">
        <v>1</v>
      </c>
      <c r="C21">
        <v>1</v>
      </c>
      <c r="D21">
        <v>0.5</v>
      </c>
      <c r="E21">
        <v>0</v>
      </c>
      <c r="F21">
        <v>0.25</v>
      </c>
      <c r="G21">
        <v>1</v>
      </c>
      <c r="H21">
        <v>1</v>
      </c>
      <c r="I21">
        <v>1</v>
      </c>
      <c r="J21">
        <v>1</v>
      </c>
      <c r="K21">
        <v>0.5</v>
      </c>
      <c r="L21">
        <v>0.75</v>
      </c>
      <c r="M21">
        <v>0</v>
      </c>
      <c r="N21">
        <v>1</v>
      </c>
      <c r="O21">
        <v>0</v>
      </c>
      <c r="P21">
        <f t="shared" si="0"/>
        <v>9</v>
      </c>
      <c r="Q21">
        <v>9</v>
      </c>
    </row>
    <row r="22" spans="1:17" x14ac:dyDescent="0.35">
      <c r="A22" t="s">
        <v>470</v>
      </c>
      <c r="B22">
        <v>0.75</v>
      </c>
      <c r="C22">
        <v>1</v>
      </c>
      <c r="D22">
        <v>0.5</v>
      </c>
      <c r="E22">
        <v>0</v>
      </c>
      <c r="F22">
        <v>0.25</v>
      </c>
      <c r="G22">
        <v>1</v>
      </c>
      <c r="H22">
        <v>1</v>
      </c>
      <c r="I22">
        <v>1</v>
      </c>
      <c r="J22">
        <v>1</v>
      </c>
      <c r="K22">
        <v>3</v>
      </c>
      <c r="L22">
        <v>1.5</v>
      </c>
      <c r="M22">
        <v>1</v>
      </c>
      <c r="N22">
        <v>1</v>
      </c>
      <c r="O22">
        <v>3</v>
      </c>
      <c r="P22">
        <f t="shared" si="0"/>
        <v>16</v>
      </c>
      <c r="Q22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Data</vt:lpstr>
      <vt:lpstr>Classement</vt:lpstr>
      <vt:lpstr>Feuil1</vt:lpstr>
      <vt:lpstr>poids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PELTRAULT</dc:creator>
  <cp:lastModifiedBy>Frederic Peltrault</cp:lastModifiedBy>
  <dcterms:created xsi:type="dcterms:W3CDTF">2012-12-06T13:09:42Z</dcterms:created>
  <dcterms:modified xsi:type="dcterms:W3CDTF">2015-11-30T16:39:22Z</dcterms:modified>
</cp:coreProperties>
</file>