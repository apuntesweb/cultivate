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240" yWindow="330" windowWidth="14955" windowHeight="6345" activeTab="2"/>
  </bookViews>
  <sheets>
    <sheet name="intro" sheetId="3" r:id="rId1"/>
    <sheet name="data" sheetId="1" r:id="rId2"/>
    <sheet name="calcul" sheetId="2" r:id="rId3"/>
  </sheets>
  <functionGroups builtInGroupCount="17"/>
  <definedNames>
    <definedName name="Contrainte">calcul!$B$2</definedName>
    <definedName name="Instruments">calcul!$A$6:$E$6</definedName>
    <definedName name="Objectif">calcul!$B$1</definedName>
    <definedName name="solver_adj" localSheetId="2" hidden="1">calcul!$A$6:$E$6</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100</definedName>
    <definedName name="solver_lhs1" localSheetId="2" hidden="1">calcul!$B$2</definedName>
    <definedName name="solver_lin" localSheetId="2" hidden="1">2</definedName>
    <definedName name="solver_neg" localSheetId="2" hidden="1">1</definedName>
    <definedName name="solver_num" localSheetId="2" hidden="1">1</definedName>
    <definedName name="solver_nwt" localSheetId="2" hidden="1">1</definedName>
    <definedName name="solver_opt" localSheetId="2" hidden="1">calcul!$B$1</definedName>
    <definedName name="solver_pre" localSheetId="2" hidden="1">0.000001</definedName>
    <definedName name="solver_rel1" localSheetId="2" hidden="1">2</definedName>
    <definedName name="solver_rhs1" localSheetId="2" hidden="1">1</definedName>
    <definedName name="solver_scl" localSheetId="2" hidden="1">2</definedName>
    <definedName name="solver_sho" localSheetId="2" hidden="1">2</definedName>
    <definedName name="solver_tim" localSheetId="2" hidden="1">100</definedName>
    <definedName name="solver_tol" localSheetId="2" hidden="1">0.05</definedName>
    <definedName name="solver_typ" localSheetId="2" hidden="1">2</definedName>
    <definedName name="solver_val" localSheetId="2" hidden="1">0</definedName>
    <definedName name="solver_ver" localSheetId="2" hidden="1">3</definedName>
  </definedNames>
  <calcPr calcId="145621"/>
</workbook>
</file>

<file path=xl/calcChain.xml><?xml version="1.0" encoding="utf-8"?>
<calcChain xmlns="http://schemas.openxmlformats.org/spreadsheetml/2006/main">
  <c r="B2" i="2" l="1"/>
  <c r="F9" i="2"/>
  <c r="H9" i="2" s="1"/>
  <c r="F10" i="2"/>
  <c r="H10" i="2" s="1"/>
  <c r="F11" i="2"/>
  <c r="H11" i="2" s="1"/>
  <c r="F12" i="2"/>
  <c r="H12" i="2" s="1"/>
  <c r="F13" i="2"/>
  <c r="H13" i="2" s="1"/>
  <c r="F14" i="2"/>
  <c r="H14" i="2" s="1"/>
  <c r="F15" i="2"/>
  <c r="H15" i="2" s="1"/>
  <c r="F16" i="2"/>
  <c r="H16" i="2" s="1"/>
  <c r="F17" i="2"/>
  <c r="H17" i="2" s="1"/>
  <c r="F18" i="2"/>
  <c r="H18" i="2" s="1"/>
  <c r="F19" i="2"/>
  <c r="H19" i="2" s="1"/>
  <c r="F20" i="2"/>
  <c r="H20" i="2" s="1"/>
  <c r="F21" i="2"/>
  <c r="H21" i="2" s="1"/>
  <c r="F22" i="2"/>
  <c r="H22" i="2" s="1"/>
  <c r="F23" i="2"/>
  <c r="H23" i="2" s="1"/>
  <c r="F24" i="2"/>
  <c r="H24" i="2" s="1"/>
  <c r="F25" i="2"/>
  <c r="H25" i="2" s="1"/>
  <c r="F26" i="2"/>
  <c r="H26" i="2" s="1"/>
  <c r="F27" i="2"/>
  <c r="H27" i="2" s="1"/>
  <c r="F28" i="2"/>
  <c r="H28" i="2" s="1"/>
  <c r="F29" i="2"/>
  <c r="H29" i="2" s="1"/>
  <c r="F30" i="2"/>
  <c r="H30" i="2" s="1"/>
  <c r="F31" i="2"/>
  <c r="H31" i="2" s="1"/>
  <c r="F32" i="2"/>
  <c r="H32" i="2" s="1"/>
  <c r="F33" i="2"/>
  <c r="H33" i="2" s="1"/>
  <c r="F34" i="2"/>
  <c r="H34" i="2" s="1"/>
  <c r="F35" i="2"/>
  <c r="H35" i="2" s="1"/>
  <c r="F36" i="2"/>
  <c r="H36" i="2" s="1"/>
  <c r="F37" i="2"/>
  <c r="H37" i="2" s="1"/>
  <c r="F38" i="2"/>
  <c r="H38" i="2" s="1"/>
  <c r="F39" i="2"/>
  <c r="H39" i="2" s="1"/>
  <c r="F40" i="2"/>
  <c r="H40" i="2" s="1"/>
  <c r="F41" i="2"/>
  <c r="H41" i="2" s="1"/>
  <c r="F42" i="2"/>
  <c r="H42" i="2" s="1"/>
  <c r="F43" i="2"/>
  <c r="H43" i="2" s="1"/>
  <c r="F44" i="2"/>
  <c r="H44" i="2" s="1"/>
  <c r="F45" i="2"/>
  <c r="H45" i="2" s="1"/>
  <c r="F46" i="2"/>
  <c r="H46" i="2" s="1"/>
  <c r="F47" i="2"/>
  <c r="H47" i="2" s="1"/>
  <c r="F48" i="2"/>
  <c r="H48" i="2" s="1"/>
  <c r="F49" i="2"/>
  <c r="H49" i="2" s="1"/>
  <c r="F50" i="2"/>
  <c r="H50" i="2" s="1"/>
  <c r="F51" i="2"/>
  <c r="H51" i="2" s="1"/>
  <c r="F52" i="2"/>
  <c r="H52" i="2" s="1"/>
  <c r="F53" i="2"/>
  <c r="H53" i="2" s="1"/>
  <c r="F54" i="2"/>
  <c r="H54" i="2" s="1"/>
  <c r="F55" i="2"/>
  <c r="H55" i="2" s="1"/>
  <c r="F56" i="2"/>
  <c r="H56" i="2" s="1"/>
  <c r="F57" i="2"/>
  <c r="H57" i="2" s="1"/>
  <c r="F58" i="2"/>
  <c r="H58" i="2" s="1"/>
  <c r="F59" i="2"/>
  <c r="H59" i="2" s="1"/>
  <c r="F60" i="2"/>
  <c r="H60" i="2" s="1"/>
  <c r="F61" i="2"/>
  <c r="H61" i="2" s="1"/>
  <c r="F62" i="2"/>
  <c r="H62" i="2" s="1"/>
  <c r="F63" i="2"/>
  <c r="H63" i="2" s="1"/>
  <c r="F64" i="2"/>
  <c r="H64" i="2" s="1"/>
  <c r="F65" i="2"/>
  <c r="H65" i="2" s="1"/>
  <c r="F66" i="2"/>
  <c r="H66" i="2" s="1"/>
  <c r="F67" i="2"/>
  <c r="H67" i="2" s="1"/>
  <c r="F68" i="2"/>
  <c r="H68" i="2" s="1"/>
  <c r="F69" i="2"/>
  <c r="H69" i="2" s="1"/>
  <c r="F70" i="2"/>
  <c r="H70" i="2" s="1"/>
  <c r="F71" i="2"/>
  <c r="H71" i="2" s="1"/>
  <c r="F72" i="2"/>
  <c r="H72" i="2" s="1"/>
  <c r="F73" i="2"/>
  <c r="H73" i="2" s="1"/>
  <c r="F74" i="2"/>
  <c r="H74" i="2" s="1"/>
  <c r="F75" i="2"/>
  <c r="H75" i="2" s="1"/>
  <c r="F76" i="2"/>
  <c r="H76" i="2" s="1"/>
  <c r="F77" i="2"/>
  <c r="H77" i="2" s="1"/>
  <c r="F78" i="2"/>
  <c r="H78" i="2" s="1"/>
  <c r="F79" i="2"/>
  <c r="H79" i="2" s="1"/>
  <c r="F80" i="2"/>
  <c r="H80" i="2" s="1"/>
  <c r="F81" i="2"/>
  <c r="H81" i="2" s="1"/>
  <c r="F82" i="2"/>
  <c r="H82" i="2" s="1"/>
  <c r="F83" i="2"/>
  <c r="H83" i="2" s="1"/>
  <c r="F84" i="2"/>
  <c r="H84" i="2" s="1"/>
  <c r="F85" i="2"/>
  <c r="H85" i="2" s="1"/>
  <c r="F86" i="2"/>
  <c r="H86" i="2" s="1"/>
  <c r="F87" i="2"/>
  <c r="H87" i="2" s="1"/>
  <c r="F88" i="2"/>
  <c r="H88" i="2" s="1"/>
  <c r="F89" i="2"/>
  <c r="H89" i="2" s="1"/>
  <c r="F90" i="2"/>
  <c r="H90" i="2" s="1"/>
  <c r="F91" i="2"/>
  <c r="H91" i="2" s="1"/>
  <c r="F92" i="2"/>
  <c r="H92" i="2" s="1"/>
  <c r="F93" i="2"/>
  <c r="H93" i="2" s="1"/>
  <c r="F94" i="2"/>
  <c r="H94" i="2" s="1"/>
  <c r="F95" i="2"/>
  <c r="H95" i="2" s="1"/>
  <c r="F96" i="2"/>
  <c r="H96" i="2" s="1"/>
  <c r="F97" i="2"/>
  <c r="H97" i="2" s="1"/>
  <c r="F98" i="2"/>
  <c r="H98" i="2" s="1"/>
  <c r="F99" i="2"/>
  <c r="H99" i="2" s="1"/>
  <c r="F100" i="2"/>
  <c r="H100" i="2" s="1"/>
  <c r="F101" i="2"/>
  <c r="H101" i="2" s="1"/>
  <c r="F102" i="2"/>
  <c r="H102" i="2" s="1"/>
  <c r="F103" i="2"/>
  <c r="H103" i="2" s="1"/>
  <c r="F104" i="2"/>
  <c r="H104" i="2" s="1"/>
  <c r="F105" i="2"/>
  <c r="H105" i="2" s="1"/>
  <c r="F106" i="2"/>
  <c r="H106" i="2" s="1"/>
  <c r="F107" i="2"/>
  <c r="H107" i="2" s="1"/>
  <c r="F108" i="2"/>
  <c r="H108" i="2" s="1"/>
  <c r="F109" i="2"/>
  <c r="H109" i="2" s="1"/>
  <c r="F110" i="2"/>
  <c r="H110" i="2" s="1"/>
  <c r="F111" i="2"/>
  <c r="H111" i="2" s="1"/>
  <c r="F112" i="2"/>
  <c r="H112" i="2" s="1"/>
  <c r="F113" i="2"/>
  <c r="H113" i="2" s="1"/>
  <c r="F114" i="2"/>
  <c r="H114" i="2" s="1"/>
  <c r="F115" i="2"/>
  <c r="H115" i="2" s="1"/>
  <c r="F116" i="2"/>
  <c r="H116" i="2" s="1"/>
  <c r="F117" i="2"/>
  <c r="H117" i="2" s="1"/>
  <c r="F118" i="2"/>
  <c r="H118" i="2" s="1"/>
  <c r="F119" i="2"/>
  <c r="H119" i="2" s="1"/>
  <c r="F120" i="2"/>
  <c r="H120" i="2" s="1"/>
  <c r="F121" i="2"/>
  <c r="H121" i="2" s="1"/>
  <c r="F122" i="2"/>
  <c r="H122" i="2" s="1"/>
  <c r="F123" i="2"/>
  <c r="H123" i="2" s="1"/>
  <c r="F124" i="2"/>
  <c r="H124" i="2" s="1"/>
  <c r="F125" i="2"/>
  <c r="H125" i="2" s="1"/>
  <c r="F126" i="2"/>
  <c r="H126" i="2" s="1"/>
  <c r="F127" i="2"/>
  <c r="H127" i="2" s="1"/>
  <c r="F128" i="2"/>
  <c r="H128" i="2" s="1"/>
  <c r="F129" i="2"/>
  <c r="H129" i="2" s="1"/>
  <c r="F130" i="2"/>
  <c r="H130" i="2" s="1"/>
  <c r="F131" i="2"/>
  <c r="H131" i="2" s="1"/>
  <c r="F132" i="2"/>
  <c r="H132" i="2" s="1"/>
  <c r="F133" i="2"/>
  <c r="H133" i="2" s="1"/>
  <c r="F134" i="2"/>
  <c r="H134" i="2" s="1"/>
  <c r="F135" i="2"/>
  <c r="H135" i="2" s="1"/>
  <c r="F136" i="2"/>
  <c r="H136" i="2" s="1"/>
  <c r="F137" i="2"/>
  <c r="H137" i="2" s="1"/>
  <c r="F138" i="2"/>
  <c r="H138" i="2" s="1"/>
  <c r="F139" i="2"/>
  <c r="H139" i="2" s="1"/>
  <c r="F140" i="2"/>
  <c r="H140" i="2" s="1"/>
  <c r="F141" i="2"/>
  <c r="H141" i="2" s="1"/>
  <c r="F142" i="2"/>
  <c r="H142" i="2" s="1"/>
  <c r="F143" i="2"/>
  <c r="H143" i="2" s="1"/>
  <c r="F144" i="2"/>
  <c r="H144" i="2" s="1"/>
  <c r="F145" i="2"/>
  <c r="H145" i="2" s="1"/>
  <c r="F146" i="2"/>
  <c r="H146" i="2" s="1"/>
  <c r="F147" i="2"/>
  <c r="H147" i="2" s="1"/>
  <c r="F148" i="2"/>
  <c r="H148" i="2" s="1"/>
  <c r="F149" i="2"/>
  <c r="H149" i="2" s="1"/>
  <c r="F150" i="2"/>
  <c r="H150" i="2" s="1"/>
  <c r="F151" i="2"/>
  <c r="H151" i="2" s="1"/>
  <c r="F152" i="2"/>
  <c r="H152" i="2" s="1"/>
  <c r="F153" i="2"/>
  <c r="H153" i="2" s="1"/>
  <c r="F154" i="2"/>
  <c r="H154" i="2" s="1"/>
  <c r="F155" i="2"/>
  <c r="H155" i="2" s="1"/>
  <c r="F156" i="2"/>
  <c r="H156" i="2" s="1"/>
  <c r="F157" i="2"/>
  <c r="H157" i="2" s="1"/>
  <c r="F158" i="2"/>
  <c r="H158" i="2" s="1"/>
  <c r="F159" i="2"/>
  <c r="H159" i="2" s="1"/>
  <c r="F160" i="2"/>
  <c r="H160" i="2" s="1"/>
  <c r="F161" i="2"/>
  <c r="H161" i="2" s="1"/>
  <c r="F162" i="2"/>
  <c r="H162" i="2" s="1"/>
  <c r="F163" i="2"/>
  <c r="H163" i="2" s="1"/>
  <c r="F164" i="2"/>
  <c r="H164" i="2" s="1"/>
  <c r="F165" i="2"/>
  <c r="H165" i="2" s="1"/>
  <c r="F166" i="2"/>
  <c r="H166" i="2" s="1"/>
  <c r="F167" i="2"/>
  <c r="H167" i="2" s="1"/>
  <c r="F168" i="2"/>
  <c r="H168" i="2" s="1"/>
  <c r="F169" i="2"/>
  <c r="H169" i="2" s="1"/>
  <c r="F170" i="2"/>
  <c r="H170" i="2" s="1"/>
  <c r="F171" i="2"/>
  <c r="H171" i="2" s="1"/>
  <c r="F172" i="2"/>
  <c r="H172" i="2" s="1"/>
  <c r="F173" i="2"/>
  <c r="H173" i="2" s="1"/>
  <c r="F174" i="2"/>
  <c r="H174" i="2" s="1"/>
  <c r="F175" i="2"/>
  <c r="H175" i="2" s="1"/>
  <c r="F176" i="2"/>
  <c r="H176" i="2" s="1"/>
  <c r="F177" i="2"/>
  <c r="H177" i="2" s="1"/>
  <c r="F178" i="2"/>
  <c r="H178" i="2" s="1"/>
  <c r="F179" i="2"/>
  <c r="H179" i="2" s="1"/>
  <c r="F180" i="2"/>
  <c r="H180" i="2" s="1"/>
  <c r="F181" i="2"/>
  <c r="H181" i="2" s="1"/>
  <c r="F182" i="2"/>
  <c r="H182" i="2" s="1"/>
  <c r="F183" i="2"/>
  <c r="H183" i="2" s="1"/>
  <c r="F184" i="2"/>
  <c r="H184" i="2" s="1"/>
  <c r="F185" i="2"/>
  <c r="H185" i="2" s="1"/>
  <c r="F186" i="2"/>
  <c r="H186" i="2" s="1"/>
  <c r="F187" i="2"/>
  <c r="H187" i="2" s="1"/>
  <c r="F188" i="2"/>
  <c r="H188" i="2" s="1"/>
  <c r="F189" i="2"/>
  <c r="H189" i="2" s="1"/>
  <c r="F190" i="2"/>
  <c r="H190" i="2" s="1"/>
  <c r="F191" i="2"/>
  <c r="H191" i="2" s="1"/>
  <c r="F192" i="2"/>
  <c r="H192" i="2" s="1"/>
  <c r="F193" i="2"/>
  <c r="H193" i="2" s="1"/>
  <c r="F194" i="2"/>
  <c r="H194" i="2" s="1"/>
  <c r="F195" i="2"/>
  <c r="H195" i="2" s="1"/>
  <c r="F196" i="2"/>
  <c r="H196" i="2" s="1"/>
  <c r="F197" i="2"/>
  <c r="H197" i="2" s="1"/>
  <c r="F198" i="2"/>
  <c r="H198" i="2" s="1"/>
  <c r="F199" i="2"/>
  <c r="H199" i="2" s="1"/>
  <c r="F200" i="2"/>
  <c r="H200" i="2" s="1"/>
  <c r="F201" i="2"/>
  <c r="H201" i="2" s="1"/>
  <c r="F202" i="2"/>
  <c r="H202" i="2" s="1"/>
  <c r="F203" i="2"/>
  <c r="H203" i="2" s="1"/>
  <c r="F204" i="2"/>
  <c r="H204" i="2" s="1"/>
  <c r="F205" i="2"/>
  <c r="H205" i="2" s="1"/>
  <c r="F206" i="2"/>
  <c r="H206" i="2" s="1"/>
  <c r="F207" i="2"/>
  <c r="H207" i="2" s="1"/>
  <c r="F208" i="2"/>
  <c r="H208" i="2" s="1"/>
  <c r="F209" i="2"/>
  <c r="H209" i="2" s="1"/>
  <c r="F210" i="2"/>
  <c r="H210" i="2" s="1"/>
  <c r="F211" i="2"/>
  <c r="H211" i="2" s="1"/>
  <c r="F212" i="2"/>
  <c r="H212" i="2" s="1"/>
  <c r="F213" i="2"/>
  <c r="H213" i="2" s="1"/>
  <c r="F214" i="2"/>
  <c r="H214" i="2" s="1"/>
  <c r="F215" i="2"/>
  <c r="H215" i="2" s="1"/>
  <c r="F216" i="2"/>
  <c r="H216" i="2" s="1"/>
  <c r="F217" i="2"/>
  <c r="H217" i="2" s="1"/>
  <c r="F218" i="2"/>
  <c r="H218" i="2" s="1"/>
  <c r="F219" i="2"/>
  <c r="H219" i="2" s="1"/>
  <c r="F220" i="2"/>
  <c r="H220" i="2" s="1"/>
  <c r="F221" i="2"/>
  <c r="H221" i="2" s="1"/>
  <c r="F222" i="2"/>
  <c r="H222" i="2" s="1"/>
  <c r="F223" i="2"/>
  <c r="H223" i="2" s="1"/>
  <c r="F224" i="2"/>
  <c r="H224" i="2" s="1"/>
  <c r="F225" i="2"/>
  <c r="H225" i="2" s="1"/>
  <c r="F226" i="2"/>
  <c r="H226" i="2" s="1"/>
  <c r="F227" i="2"/>
  <c r="H227" i="2" s="1"/>
  <c r="F228" i="2"/>
  <c r="H228" i="2" s="1"/>
  <c r="F229" i="2"/>
  <c r="H229" i="2" s="1"/>
  <c r="F230" i="2"/>
  <c r="H230" i="2" s="1"/>
  <c r="F231" i="2"/>
  <c r="H231" i="2" s="1"/>
  <c r="F232" i="2"/>
  <c r="H232" i="2" s="1"/>
  <c r="F233" i="2"/>
  <c r="H233" i="2" s="1"/>
  <c r="F234" i="2"/>
  <c r="H234" i="2" s="1"/>
  <c r="F235" i="2"/>
  <c r="H235" i="2" s="1"/>
  <c r="F236" i="2"/>
  <c r="H236" i="2" s="1"/>
  <c r="F237" i="2"/>
  <c r="H237" i="2" s="1"/>
  <c r="F238" i="2"/>
  <c r="H238" i="2" s="1"/>
  <c r="F239" i="2"/>
  <c r="H239" i="2" s="1"/>
  <c r="F240" i="2"/>
  <c r="H240" i="2" s="1"/>
  <c r="F241" i="2"/>
  <c r="H241" i="2" s="1"/>
  <c r="F242" i="2"/>
  <c r="H242" i="2" s="1"/>
  <c r="F243" i="2"/>
  <c r="H243" i="2" s="1"/>
  <c r="B1" i="2" l="1"/>
</calcChain>
</file>

<file path=xl/sharedStrings.xml><?xml version="1.0" encoding="utf-8"?>
<sst xmlns="http://schemas.openxmlformats.org/spreadsheetml/2006/main" count="24" uniqueCount="15">
  <si>
    <t>USA</t>
  </si>
  <si>
    <t>GERMANY</t>
  </si>
  <si>
    <t>France</t>
  </si>
  <si>
    <t>JAPAN</t>
  </si>
  <si>
    <t>World</t>
  </si>
  <si>
    <t>Programmation du SOLVER</t>
  </si>
  <si>
    <t xml:space="preserve">
Sur la feuille "data" sont stockés les rendements mensuels de l'indice MSCI World et ceux d'indices nationaux. Le problème est de déterminer le portefeuille d'indices répliquant au mieux l'indice mondial.
Pour cela, on construit une procédure principale de type Sub reportant d'abord les rendements des indices nationaux sur la feuille calcul (à partir de la ligne 11 et la colonne A), les noms des titres. Ensuite on calcule dans la première colonne suivant cette plage les rendements du portefeuilles des indices nationaux (en utilisant les formules), puis mois par mois on calcule le carré des écarts entre le rendement de ce portefeuille. La fonction objectif est alors la somme de ces carrés des écarts que l'on cherche à minimiser sous la contrainte que la somme des parts investis des indices nationaux soit égale à 1, que ces parts sont positives.
Pour définir le modèle d'optimisation, lancer cette optimisation, on code une procédure de type function fnOpt.</t>
  </si>
  <si>
    <t>UK</t>
  </si>
  <si>
    <t>Tableau 1. Poids des indices dans le portefeuille de réplication</t>
  </si>
  <si>
    <t>FRANCE</t>
  </si>
  <si>
    <t>Rdt Portefeuille</t>
  </si>
  <si>
    <t>Rdt WORLD</t>
  </si>
  <si>
    <t>Erreur de réplication</t>
  </si>
  <si>
    <t>Objectif</t>
  </si>
  <si>
    <t>Contrainte</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</si>
</sst>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0"/>
      <name val="Arial"/>
    </font>
    <font>
      <sz val="14"/>
      <color indexed="9"/>
      <name val="Arial"/>
      <family val="2"/>
    </font>
    <font>
      <sz val="10"/>
      <name val="Arial"/>
      <family val="2"/>
    </font>
    <font>
      <b/>
      <sz val="10"/>
      <name val="Arial"/>
      <family val="2"/>
    </font>
  </fonts>
  <fills count="3">
    <fill>
      <patternFill patternType="none"/>
    </fill>
    <fill>
      <patternFill patternType="gray125"/>
    </fill>
    <fill>
      <patternFill patternType="solid">
        <fgColor indexed="16"/>
        <bgColor indexed="64"/>
      </patternFill>
    </fill>
  </fills>
  <borders count="2">
    <border>
      <left/>
      <right/>
      <top/>
      <bottom/>
      <diagonal/>
    </border>
    <border>
      <left/>
      <right/>
      <top style="medium">
        <color indexed="64"/>
      </top>
      <bottom/>
      <diagonal/>
    </border>
  </borders>
  <cellStyleXfs count="1">
    <xf numFmtId="0" fontId="0" fillId="0" borderId="0"/>
  </cellStyleXfs>
  <cellXfs count="12">
    <xf numFmtId="0" fontId="0" fillId="0" borderId="0" xfId="0"/>
    <xf numFmtId="0" fontId="0" fillId="0" borderId="0" xfId="0" applyAlignment="1">
      <alignment horizontal="center"/>
    </xf>
    <xf numFmtId="17" fontId="0" fillId="0" borderId="0" xfId="0" applyNumberFormat="1" applyAlignment="1">
      <alignment horizontal="center"/>
    </xf>
    <xf numFmtId="2" fontId="0" fillId="0" borderId="0" xfId="0" applyNumberFormat="1" applyAlignment="1">
      <alignment horizontal="center"/>
    </xf>
    <xf numFmtId="0" fontId="0" fillId="2" borderId="0" xfId="0" applyFill="1"/>
    <xf numFmtId="0" fontId="3" fillId="0" borderId="0" xfId="0" applyFont="1"/>
    <xf numFmtId="0" fontId="2" fillId="0" borderId="0" xfId="0" applyFont="1" applyAlignment="1">
      <alignment horizontal="center"/>
    </xf>
    <xf numFmtId="0" fontId="1" fillId="2"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justify" vertical="top" wrapText="1"/>
    </xf>
    <xf numFmtId="0" fontId="0" fillId="0" borderId="0" xfId="0" applyAlignment="1">
      <alignment horizontal="justify" vertical="top"/>
    </xf>
    <xf numFmtId="0" fontId="0" fillId="0" borderId="1" xfId="0"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xdr:row>
          <xdr:rowOff>9525</xdr:rowOff>
        </xdr:from>
        <xdr:to>
          <xdr:col>11</xdr:col>
          <xdr:colOff>0</xdr:colOff>
          <xdr:row>3</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ProcTPSolver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K21"/>
  <sheetViews>
    <sheetView workbookViewId="0">
      <selection activeCell="F29" sqref="F29"/>
    </sheetView>
  </sheetViews>
  <sheetFormatPr baseColWidth="10" defaultRowHeight="12.75" x14ac:dyDescent="0.2"/>
  <sheetData>
    <row r="1" spans="1:11" s="4" customFormat="1" x14ac:dyDescent="0.2">
      <c r="A1" s="7" t="s">
        <v>5</v>
      </c>
      <c r="B1" s="8"/>
      <c r="C1" s="8"/>
      <c r="D1" s="8"/>
      <c r="E1" s="8"/>
      <c r="F1" s="8"/>
      <c r="G1" s="8"/>
      <c r="H1" s="8"/>
      <c r="I1" s="8"/>
      <c r="J1" s="8"/>
      <c r="K1" s="8"/>
    </row>
    <row r="2" spans="1:11" s="4" customFormat="1" x14ac:dyDescent="0.2">
      <c r="A2" s="8"/>
      <c r="B2" s="8"/>
      <c r="C2" s="8"/>
      <c r="D2" s="8"/>
      <c r="E2" s="8"/>
      <c r="F2" s="8"/>
      <c r="G2" s="8"/>
      <c r="H2" s="8"/>
      <c r="I2" s="8"/>
      <c r="J2" s="8"/>
      <c r="K2" s="8"/>
    </row>
    <row r="3" spans="1:11" s="4" customFormat="1" x14ac:dyDescent="0.2">
      <c r="A3" s="8"/>
      <c r="B3" s="8"/>
      <c r="C3" s="8"/>
      <c r="D3" s="8"/>
      <c r="E3" s="8"/>
      <c r="F3" s="8"/>
      <c r="G3" s="8"/>
      <c r="H3" s="8"/>
      <c r="I3" s="8"/>
      <c r="J3" s="8"/>
      <c r="K3" s="8"/>
    </row>
    <row r="4" spans="1:11" s="4" customFormat="1" x14ac:dyDescent="0.2">
      <c r="A4" s="8"/>
      <c r="B4" s="8"/>
      <c r="C4" s="8"/>
      <c r="D4" s="8"/>
      <c r="E4" s="8"/>
      <c r="F4" s="8"/>
      <c r="G4" s="8"/>
      <c r="H4" s="8"/>
      <c r="I4" s="8"/>
      <c r="J4" s="8"/>
      <c r="K4" s="8"/>
    </row>
    <row r="5" spans="1:11" s="4" customFormat="1" x14ac:dyDescent="0.2">
      <c r="A5" s="8"/>
      <c r="B5" s="8"/>
      <c r="C5" s="8"/>
      <c r="D5" s="8"/>
      <c r="E5" s="8"/>
      <c r="F5" s="8"/>
      <c r="G5" s="8"/>
      <c r="H5" s="8"/>
      <c r="I5" s="8"/>
      <c r="J5" s="8"/>
      <c r="K5" s="8"/>
    </row>
    <row r="8" spans="1:11" x14ac:dyDescent="0.2">
      <c r="B8" s="9" t="s">
        <v>6</v>
      </c>
      <c r="C8" s="10"/>
      <c r="D8" s="10"/>
      <c r="E8" s="10"/>
      <c r="F8" s="10"/>
      <c r="G8" s="10"/>
      <c r="H8" s="10"/>
      <c r="I8" s="10"/>
      <c r="J8" s="10"/>
      <c r="K8" s="10"/>
    </row>
    <row r="9" spans="1:11" x14ac:dyDescent="0.2">
      <c r="B9" s="10"/>
      <c r="C9" s="10"/>
      <c r="D9" s="10"/>
      <c r="E9" s="10"/>
      <c r="F9" s="10"/>
      <c r="G9" s="10"/>
      <c r="H9" s="10"/>
      <c r="I9" s="10"/>
      <c r="J9" s="10"/>
      <c r="K9" s="10"/>
    </row>
    <row r="10" spans="1:11" x14ac:dyDescent="0.2">
      <c r="B10" s="10"/>
      <c r="C10" s="10"/>
      <c r="D10" s="10"/>
      <c r="E10" s="10"/>
      <c r="F10" s="10"/>
      <c r="G10" s="10"/>
      <c r="H10" s="10"/>
      <c r="I10" s="10"/>
      <c r="J10" s="10"/>
      <c r="K10" s="10"/>
    </row>
    <row r="11" spans="1:11" x14ac:dyDescent="0.2">
      <c r="B11" s="10"/>
      <c r="C11" s="10"/>
      <c r="D11" s="10"/>
      <c r="E11" s="10"/>
      <c r="F11" s="10"/>
      <c r="G11" s="10"/>
      <c r="H11" s="10"/>
      <c r="I11" s="10"/>
      <c r="J11" s="10"/>
      <c r="K11" s="10"/>
    </row>
    <row r="12" spans="1:11" x14ac:dyDescent="0.2">
      <c r="B12" s="10"/>
      <c r="C12" s="10"/>
      <c r="D12" s="10"/>
      <c r="E12" s="10"/>
      <c r="F12" s="10"/>
      <c r="G12" s="10"/>
      <c r="H12" s="10"/>
      <c r="I12" s="10"/>
      <c r="J12" s="10"/>
      <c r="K12" s="10"/>
    </row>
    <row r="13" spans="1:11" x14ac:dyDescent="0.2">
      <c r="B13" s="10"/>
      <c r="C13" s="10"/>
      <c r="D13" s="10"/>
      <c r="E13" s="10"/>
      <c r="F13" s="10"/>
      <c r="G13" s="10"/>
      <c r="H13" s="10"/>
      <c r="I13" s="10"/>
      <c r="J13" s="10"/>
      <c r="K13" s="10"/>
    </row>
    <row r="14" spans="1:11" x14ac:dyDescent="0.2">
      <c r="B14" s="10"/>
      <c r="C14" s="10"/>
      <c r="D14" s="10"/>
      <c r="E14" s="10"/>
      <c r="F14" s="10"/>
      <c r="G14" s="10"/>
      <c r="H14" s="10"/>
      <c r="I14" s="10"/>
      <c r="J14" s="10"/>
      <c r="K14" s="10"/>
    </row>
    <row r="15" spans="1:11" x14ac:dyDescent="0.2">
      <c r="B15" s="10"/>
      <c r="C15" s="10"/>
      <c r="D15" s="10"/>
      <c r="E15" s="10"/>
      <c r="F15" s="10"/>
      <c r="G15" s="10"/>
      <c r="H15" s="10"/>
      <c r="I15" s="10"/>
      <c r="J15" s="10"/>
      <c r="K15" s="10"/>
    </row>
    <row r="16" spans="1:11" x14ac:dyDescent="0.2">
      <c r="B16" s="10"/>
      <c r="C16" s="10"/>
      <c r="D16" s="10"/>
      <c r="E16" s="10"/>
      <c r="F16" s="10"/>
      <c r="G16" s="10"/>
      <c r="H16" s="10"/>
      <c r="I16" s="10"/>
      <c r="J16" s="10"/>
      <c r="K16" s="10"/>
    </row>
    <row r="17" spans="2:11" x14ac:dyDescent="0.2">
      <c r="B17" s="10"/>
      <c r="C17" s="10"/>
      <c r="D17" s="10"/>
      <c r="E17" s="10"/>
      <c r="F17" s="10"/>
      <c r="G17" s="10"/>
      <c r="H17" s="10"/>
      <c r="I17" s="10"/>
      <c r="J17" s="10"/>
      <c r="K17" s="10"/>
    </row>
    <row r="18" spans="2:11" x14ac:dyDescent="0.2">
      <c r="B18" s="10"/>
      <c r="C18" s="10"/>
      <c r="D18" s="10"/>
      <c r="E18" s="10"/>
      <c r="F18" s="10"/>
      <c r="G18" s="10"/>
      <c r="H18" s="10"/>
      <c r="I18" s="10"/>
      <c r="J18" s="10"/>
      <c r="K18" s="10"/>
    </row>
    <row r="19" spans="2:11" x14ac:dyDescent="0.2">
      <c r="B19" s="10"/>
      <c r="C19" s="10"/>
      <c r="D19" s="10"/>
      <c r="E19" s="10"/>
      <c r="F19" s="10"/>
      <c r="G19" s="10"/>
      <c r="H19" s="10"/>
      <c r="I19" s="10"/>
      <c r="J19" s="10"/>
      <c r="K19" s="10"/>
    </row>
    <row r="20" spans="2:11" x14ac:dyDescent="0.2">
      <c r="B20" s="10"/>
      <c r="C20" s="10"/>
      <c r="D20" s="10"/>
      <c r="E20" s="10"/>
      <c r="F20" s="10"/>
      <c r="G20" s="10"/>
      <c r="H20" s="10"/>
      <c r="I20" s="10"/>
      <c r="J20" s="10"/>
      <c r="K20" s="10"/>
    </row>
    <row r="21" spans="2:11" x14ac:dyDescent="0.2">
      <c r="B21" s="10"/>
      <c r="C21" s="10"/>
      <c r="D21" s="10"/>
      <c r="E21" s="10"/>
      <c r="F21" s="10"/>
      <c r="G21" s="10"/>
      <c r="H21" s="10"/>
      <c r="I21" s="10"/>
      <c r="J21" s="10"/>
      <c r="K21" s="10"/>
    </row>
  </sheetData>
  <mergeCells count="2">
    <mergeCell ref="A1:K5"/>
    <mergeCell ref="B8:K21"/>
  </mergeCells>
  <phoneticPr fontId="0" type="noConversion"/>
  <pageMargins left="0.78740157499999996" right="0.78740157499999996" top="0.984251969" bottom="0.984251969" header="0.4921259845" footer="0.492125984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G236"/>
  <sheetViews>
    <sheetView workbookViewId="0">
      <selection activeCell="E8" sqref="E8"/>
    </sheetView>
  </sheetViews>
  <sheetFormatPr baseColWidth="10" defaultRowHeight="12.75" x14ac:dyDescent="0.2"/>
  <sheetData>
    <row r="1" spans="1:7" x14ac:dyDescent="0.2">
      <c r="A1" s="1"/>
      <c r="B1" t="s">
        <v>4</v>
      </c>
      <c r="C1" s="1" t="s">
        <v>0</v>
      </c>
      <c r="D1" s="6" t="s">
        <v>7</v>
      </c>
      <c r="E1" s="1" t="s">
        <v>1</v>
      </c>
      <c r="F1" s="1" t="s">
        <v>2</v>
      </c>
      <c r="G1" s="1" t="s">
        <v>3</v>
      </c>
    </row>
    <row r="2" spans="1:7" x14ac:dyDescent="0.2">
      <c r="A2" s="2">
        <v>32171</v>
      </c>
      <c r="B2">
        <v>5.0944707588577935E-2</v>
      </c>
      <c r="C2" s="3">
        <v>6.7456194333971251E-2</v>
      </c>
      <c r="D2" s="3">
        <v>1.9429606120074973E-2</v>
      </c>
      <c r="E2" s="3">
        <v>-0.10292654150506736</v>
      </c>
      <c r="F2" s="3">
        <v>-0.13855673434834359</v>
      </c>
      <c r="G2" s="3">
        <v>8.0675423042751729E-2</v>
      </c>
    </row>
    <row r="3" spans="1:7" x14ac:dyDescent="0.2">
      <c r="A3" s="2">
        <v>32202</v>
      </c>
      <c r="B3">
        <v>4.1179174700925678E-2</v>
      </c>
      <c r="C3" s="3">
        <v>2.4420011471980009E-2</v>
      </c>
      <c r="D3" s="3">
        <v>-1.9869138648460068E-2</v>
      </c>
      <c r="E3" s="3">
        <v>0.13253852702255148</v>
      </c>
      <c r="F3" s="3">
        <v>0.17537016893025503</v>
      </c>
      <c r="G3" s="3">
        <v>5.8898335764055988E-2</v>
      </c>
    </row>
    <row r="4" spans="1:7" x14ac:dyDescent="0.2">
      <c r="A4" s="2">
        <v>32233</v>
      </c>
      <c r="B4">
        <v>2.2179581539681643E-2</v>
      </c>
      <c r="C4" s="3">
        <v>-4.3074957427175778E-2</v>
      </c>
      <c r="D4" s="3">
        <v>3.8047577748233072E-2</v>
      </c>
      <c r="E4" s="3">
        <v>-8.54093344492215E-3</v>
      </c>
      <c r="F4" s="3">
        <v>-6.9356090860451844E-2</v>
      </c>
      <c r="G4" s="3">
        <v>6.6412070694854927E-2</v>
      </c>
    </row>
    <row r="5" spans="1:7" x14ac:dyDescent="0.2">
      <c r="A5" s="2">
        <v>32262</v>
      </c>
      <c r="B5">
        <v>2.0700568670214848E-2</v>
      </c>
      <c r="C5" s="3">
        <v>1.5813336283334797E-2</v>
      </c>
      <c r="D5" s="3">
        <v>3.3503934771787751E-2</v>
      </c>
      <c r="E5" s="3">
        <v>-8.6000424769248681E-3</v>
      </c>
      <c r="F5" s="3">
        <v>9.0948503458600255E-2</v>
      </c>
      <c r="G5" s="3">
        <v>1.9893156303098163E-2</v>
      </c>
    </row>
    <row r="6" spans="1:7" x14ac:dyDescent="0.2">
      <c r="A6" s="2">
        <v>32294</v>
      </c>
      <c r="B6">
        <v>1.4645621179298809E-2</v>
      </c>
      <c r="C6" s="3">
        <v>4.1874326845790975E-2</v>
      </c>
      <c r="D6" s="3">
        <v>4.489037301980324E-3</v>
      </c>
      <c r="E6" s="3">
        <v>2.3115819481819056E-2</v>
      </c>
      <c r="F6" s="3">
        <v>9.9026316203039672E-2</v>
      </c>
      <c r="G6" s="3">
        <v>-1.0027964196119152E-2</v>
      </c>
    </row>
    <row r="7" spans="1:7" x14ac:dyDescent="0.2">
      <c r="A7" s="2">
        <v>32324</v>
      </c>
      <c r="B7">
        <v>4.6127620022147243E-2</v>
      </c>
      <c r="C7" s="3">
        <v>9.165331425758351E-2</v>
      </c>
      <c r="D7" s="3">
        <v>1.3251279746272675E-2</v>
      </c>
      <c r="E7" s="3">
        <v>4.9655447982468341E-2</v>
      </c>
      <c r="F7" s="3">
        <v>5.8852162836358579E-2</v>
      </c>
      <c r="G7" s="3">
        <v>1.0466076106324017E-2</v>
      </c>
    </row>
    <row r="8" spans="1:7" x14ac:dyDescent="0.2">
      <c r="A8" s="2">
        <v>32353</v>
      </c>
      <c r="B8">
        <v>3.9194394158424378E-2</v>
      </c>
      <c r="C8" s="3">
        <v>1.602764800263403E-2</v>
      </c>
      <c r="D8" s="3">
        <v>2.911533840314897E-2</v>
      </c>
      <c r="E8" s="3">
        <v>2.9386664261295284E-2</v>
      </c>
      <c r="F8" s="3">
        <v>-7.1741500343807229E-3</v>
      </c>
      <c r="G8" s="3">
        <v>6.6729354755725265E-2</v>
      </c>
    </row>
    <row r="9" spans="1:7" x14ac:dyDescent="0.2">
      <c r="A9" s="2">
        <v>32386</v>
      </c>
      <c r="B9">
        <v>-6.5508639177163278E-2</v>
      </c>
      <c r="C9" s="3">
        <v>-4.4595714097797667E-2</v>
      </c>
      <c r="D9" s="3">
        <v>-8.0082782902569594E-2</v>
      </c>
      <c r="E9" s="3">
        <v>-1.6034911341639223E-2</v>
      </c>
      <c r="F9" s="3">
        <v>-4.1799763854007806E-2</v>
      </c>
      <c r="G9" s="3">
        <v>-8.6126543858524418E-2</v>
      </c>
    </row>
    <row r="10" spans="1:7" x14ac:dyDescent="0.2">
      <c r="A10" s="2">
        <v>32416</v>
      </c>
      <c r="B10">
        <v>1.4841417603113964E-2</v>
      </c>
      <c r="C10" s="3">
        <v>1.3739857862976036E-2</v>
      </c>
      <c r="D10" s="3">
        <v>1.980035247458008E-2</v>
      </c>
      <c r="E10" s="3">
        <v>4.4961778106630955E-2</v>
      </c>
      <c r="F10" s="3">
        <v>6.6412731332566519E-2</v>
      </c>
      <c r="G10" s="3">
        <v>1.6831280956989606E-2</v>
      </c>
    </row>
    <row r="11" spans="1:7" x14ac:dyDescent="0.2">
      <c r="A11" s="2">
        <v>32447</v>
      </c>
      <c r="B11">
        <v>2.2403875223820681E-2</v>
      </c>
      <c r="C11" s="3">
        <v>-1.3199770874666996E-2</v>
      </c>
      <c r="D11" s="3">
        <v>3.3065573194237405E-2</v>
      </c>
      <c r="E11" s="3">
        <v>5.8498717947577369E-2</v>
      </c>
      <c r="F11" s="3">
        <v>6.6296622550730114E-2</v>
      </c>
      <c r="G11" s="3">
        <v>3.945574595704008E-2</v>
      </c>
    </row>
    <row r="12" spans="1:7" x14ac:dyDescent="0.2">
      <c r="A12" s="2">
        <v>32477</v>
      </c>
      <c r="B12">
        <v>3.3671551475310361E-2</v>
      </c>
      <c r="C12" s="3">
        <v>-1.7598796030153151E-2</v>
      </c>
      <c r="D12" s="3">
        <v>8.9083269062038735E-3</v>
      </c>
      <c r="E12" s="3">
        <v>-6.6420151241353151E-3</v>
      </c>
      <c r="F12" s="3">
        <v>1.9295345682202869E-2</v>
      </c>
      <c r="G12" s="3">
        <v>8.590155525335709E-2</v>
      </c>
    </row>
    <row r="13" spans="1:7" x14ac:dyDescent="0.2">
      <c r="A13" s="2">
        <v>32507</v>
      </c>
      <c r="B13">
        <v>4.6278926647166901E-2</v>
      </c>
      <c r="C13" s="3">
        <v>5.2037626869950088E-2</v>
      </c>
      <c r="D13" s="3">
        <v>1.7796904467029379E-2</v>
      </c>
      <c r="E13" s="3">
        <v>6.7021650561021606E-2</v>
      </c>
      <c r="F13" s="3">
        <v>7.9091672461165857E-2</v>
      </c>
      <c r="G13" s="3">
        <v>4.4309775562700729E-2</v>
      </c>
    </row>
    <row r="14" spans="1:7" x14ac:dyDescent="0.2">
      <c r="A14" s="2">
        <v>32539</v>
      </c>
      <c r="B14">
        <v>4.6327015670517856E-2</v>
      </c>
      <c r="C14" s="3">
        <v>8.2768248332331693E-2</v>
      </c>
      <c r="D14" s="3">
        <v>0.11687259729993112</v>
      </c>
      <c r="E14" s="3">
        <v>-3.8028811662548297E-2</v>
      </c>
      <c r="F14" s="3">
        <v>2.0476007911783448E-2</v>
      </c>
      <c r="G14" s="3">
        <v>1.5009368021157187E-2</v>
      </c>
    </row>
    <row r="15" spans="1:7" x14ac:dyDescent="0.2">
      <c r="A15" s="2">
        <v>32567</v>
      </c>
      <c r="B15">
        <v>-1.2220390461730435E-3</v>
      </c>
      <c r="C15" s="3">
        <v>-2.680222658347409E-2</v>
      </c>
      <c r="D15" s="3">
        <v>-2.2431095911750864E-2</v>
      </c>
      <c r="E15" s="3">
        <v>6.3444728410491672E-3</v>
      </c>
      <c r="F15" s="3">
        <v>-1.6139498209583818E-2</v>
      </c>
      <c r="G15" s="3">
        <v>2.5520789001338605E-2</v>
      </c>
    </row>
    <row r="16" spans="1:7" x14ac:dyDescent="0.2">
      <c r="A16" s="2">
        <v>32598</v>
      </c>
      <c r="B16">
        <v>-2.4898058626185784E-3</v>
      </c>
      <c r="C16" s="3">
        <v>2.4757710683948081E-2</v>
      </c>
      <c r="D16" s="3">
        <v>9.0947293484764918E-3</v>
      </c>
      <c r="E16" s="3">
        <v>-1.4904988448137363E-2</v>
      </c>
      <c r="F16" s="3">
        <v>1.5083580978927862E-2</v>
      </c>
      <c r="G16" s="3">
        <v>-3.030209616246687E-2</v>
      </c>
    </row>
    <row r="17" spans="1:7" x14ac:dyDescent="0.2">
      <c r="A17" s="2">
        <v>32626</v>
      </c>
      <c r="B17">
        <v>6.326649371183124E-2</v>
      </c>
      <c r="C17" s="3">
        <v>9.2014278119807044E-2</v>
      </c>
      <c r="D17" s="3">
        <v>5.3267365917917753E-2</v>
      </c>
      <c r="E17" s="3">
        <v>8.9335715613460043E-2</v>
      </c>
      <c r="F17" s="3">
        <v>7.990252371522541E-2</v>
      </c>
      <c r="G17" s="3">
        <v>4.0139196022721951E-2</v>
      </c>
    </row>
    <row r="18" spans="1:7" x14ac:dyDescent="0.2">
      <c r="A18" s="2">
        <v>32659</v>
      </c>
      <c r="B18">
        <v>-8.5719339945738819E-3</v>
      </c>
      <c r="C18" s="3">
        <v>5.2850860165141282E-2</v>
      </c>
      <c r="D18" s="3">
        <v>-5.7164291304335431E-2</v>
      </c>
      <c r="E18" s="3">
        <v>-1.9547917871424694E-2</v>
      </c>
      <c r="F18" s="3">
        <v>-1.3772290814873037E-2</v>
      </c>
      <c r="G18" s="3">
        <v>-4.0726219012883244E-2</v>
      </c>
    </row>
    <row r="19" spans="1:7" x14ac:dyDescent="0.2">
      <c r="A19" s="2">
        <v>32689</v>
      </c>
      <c r="B19">
        <v>-5.7564301219289196E-2</v>
      </c>
      <c r="C19" s="3">
        <v>-5.1194567604228608E-2</v>
      </c>
      <c r="D19" s="3">
        <v>-3.9306880974230241E-2</v>
      </c>
      <c r="E19" s="3">
        <v>2.8212220304052561E-2</v>
      </c>
      <c r="F19" s="3">
        <v>-2.4859605963087582E-2</v>
      </c>
      <c r="G19" s="3">
        <v>-9.0727342917471018E-2</v>
      </c>
    </row>
    <row r="20" spans="1:7" x14ac:dyDescent="0.2">
      <c r="A20" s="2">
        <v>32720</v>
      </c>
      <c r="B20">
        <v>0.12089806233299674</v>
      </c>
      <c r="C20" s="3">
        <v>0.10038232647360439</v>
      </c>
      <c r="D20" s="3">
        <v>0.15338008215072044</v>
      </c>
      <c r="E20" s="3">
        <v>0.11092893416611392</v>
      </c>
      <c r="F20" s="3">
        <v>0.11959220475465319</v>
      </c>
      <c r="G20" s="3">
        <v>0.13962645566066176</v>
      </c>
    </row>
    <row r="21" spans="1:7" x14ac:dyDescent="0.2">
      <c r="A21" s="2">
        <v>32751</v>
      </c>
      <c r="B21">
        <v>-1.0840048387070672E-2</v>
      </c>
      <c r="C21" s="3">
        <v>2.7579373887034807E-2</v>
      </c>
      <c r="D21" s="3">
        <v>-1.1012280958680298E-2</v>
      </c>
      <c r="E21" s="3">
        <v>1.2520922564366363E-3</v>
      </c>
      <c r="F21" s="3">
        <v>7.1036421012889732E-3</v>
      </c>
      <c r="G21" s="3">
        <v>-5.6572668877576643E-2</v>
      </c>
    </row>
    <row r="22" spans="1:7" x14ac:dyDescent="0.2">
      <c r="A22" s="2">
        <v>32780</v>
      </c>
      <c r="B22">
        <v>-1.2053329367914449E-2</v>
      </c>
      <c r="C22" s="3">
        <v>-4.322508607741557E-2</v>
      </c>
      <c r="D22" s="3">
        <v>-4.6604997617560207E-2</v>
      </c>
      <c r="E22" s="3">
        <v>3.1177300717875347E-3</v>
      </c>
      <c r="F22" s="3">
        <v>1.6692570260648548E-2</v>
      </c>
      <c r="G22" s="3">
        <v>2.3123834007789768E-2</v>
      </c>
    </row>
    <row r="23" spans="1:7" x14ac:dyDescent="0.2">
      <c r="A23" s="2">
        <v>32812</v>
      </c>
      <c r="B23">
        <v>-4.995399073019044E-2</v>
      </c>
      <c r="C23" s="3">
        <v>-4.0125769285021054E-2</v>
      </c>
      <c r="D23" s="3">
        <v>-0.11694848593030249</v>
      </c>
      <c r="E23" s="3">
        <v>-6.3932996875940937E-2</v>
      </c>
      <c r="F23" s="3">
        <v>-6.2595580640907658E-2</v>
      </c>
      <c r="G23" s="3">
        <v>-4.1269806657602201E-2</v>
      </c>
    </row>
    <row r="24" spans="1:7" x14ac:dyDescent="0.2">
      <c r="A24" s="2">
        <v>32842</v>
      </c>
      <c r="B24">
        <v>-4.4303480598659566E-3</v>
      </c>
      <c r="C24" s="3">
        <v>-2.4338883540011916E-2</v>
      </c>
      <c r="D24" s="3">
        <v>7.0022071653357198E-3</v>
      </c>
      <c r="E24" s="3">
        <v>5.4334774200359079E-2</v>
      </c>
      <c r="F24" s="3">
        <v>1.7537822456737531E-2</v>
      </c>
      <c r="G24" s="3">
        <v>7.452870689214108E-3</v>
      </c>
    </row>
    <row r="25" spans="1:7" x14ac:dyDescent="0.2">
      <c r="A25" s="2">
        <v>32871</v>
      </c>
      <c r="B25">
        <v>3.604623682863936E-4</v>
      </c>
      <c r="C25" s="3">
        <v>-1.0143721962593923E-2</v>
      </c>
      <c r="D25" s="3">
        <v>6.3628763286558268E-2</v>
      </c>
      <c r="E25" s="3">
        <v>0.15299361437728862</v>
      </c>
      <c r="F25" s="3">
        <v>8.1462272784524933E-2</v>
      </c>
      <c r="G25" s="3">
        <v>-3.1840292722968067E-2</v>
      </c>
    </row>
    <row r="26" spans="1:7" x14ac:dyDescent="0.2">
      <c r="A26" s="2">
        <v>32904</v>
      </c>
      <c r="B26">
        <v>-6.2803981758872737E-2</v>
      </c>
      <c r="C26" s="3">
        <v>-8.3355908519538988E-2</v>
      </c>
      <c r="D26" s="3">
        <v>-9.5753050560108358E-3</v>
      </c>
      <c r="E26" s="3">
        <v>1.4844241513063784E-2</v>
      </c>
      <c r="F26" s="3">
        <v>-6.6737368119182822E-2</v>
      </c>
      <c r="G26" s="3">
        <v>-7.5654509714621856E-2</v>
      </c>
    </row>
    <row r="27" spans="1:7" x14ac:dyDescent="0.2">
      <c r="A27" s="2">
        <v>32932</v>
      </c>
      <c r="B27">
        <v>-2.8177035175081831E-2</v>
      </c>
      <c r="C27" s="3">
        <v>2.9197033712149878E-2</v>
      </c>
      <c r="D27" s="3">
        <v>-1.3319994522216137E-2</v>
      </c>
      <c r="E27" s="3">
        <v>-4.3807795186780454E-3</v>
      </c>
      <c r="F27" s="3">
        <v>-9.72228643544144E-3</v>
      </c>
      <c r="G27" s="3">
        <v>-9.2084896176089795E-2</v>
      </c>
    </row>
    <row r="28" spans="1:7" x14ac:dyDescent="0.2">
      <c r="A28" s="2">
        <v>32962</v>
      </c>
      <c r="B28">
        <v>-7.7043341908653667E-2</v>
      </c>
      <c r="C28" s="3">
        <v>7.6341059103789558E-3</v>
      </c>
      <c r="D28" s="3">
        <v>-4.5287273989584251E-2</v>
      </c>
      <c r="E28" s="3">
        <v>7.7992867014930661E-2</v>
      </c>
      <c r="F28" s="3">
        <v>4.8899492894987906E-2</v>
      </c>
      <c r="G28" s="3">
        <v>-0.22882443762147495</v>
      </c>
    </row>
    <row r="29" spans="1:7" x14ac:dyDescent="0.2">
      <c r="A29" s="2">
        <v>32993</v>
      </c>
      <c r="B29">
        <v>-3.2900545824671806E-2</v>
      </c>
      <c r="C29" s="3">
        <v>-4.000439423759878E-2</v>
      </c>
      <c r="D29" s="3">
        <v>-8.6146876177147433E-2</v>
      </c>
      <c r="E29" s="3">
        <v>-8.8996219667503484E-2</v>
      </c>
      <c r="F29" s="3">
        <v>3.9696364780664829E-2</v>
      </c>
      <c r="G29" s="3">
        <v>-4.2863239877901499E-3</v>
      </c>
    </row>
    <row r="30" spans="1:7" x14ac:dyDescent="0.2">
      <c r="A30" s="2">
        <v>33024</v>
      </c>
      <c r="B30">
        <v>0.10509380559481635</v>
      </c>
      <c r="C30" s="3">
        <v>9.2413231820584182E-2</v>
      </c>
      <c r="D30" s="3">
        <v>0.14253180207170735</v>
      </c>
      <c r="E30" s="3">
        <v>1.7289712097984151E-2</v>
      </c>
      <c r="F30" s="3">
        <v>2.533776300967391E-2</v>
      </c>
      <c r="G30" s="3">
        <v>0.14015685248671877</v>
      </c>
    </row>
    <row r="31" spans="1:7" x14ac:dyDescent="0.2">
      <c r="A31" s="2">
        <v>33053</v>
      </c>
      <c r="B31">
        <v>-3.9609783603166838E-2</v>
      </c>
      <c r="C31" s="3">
        <v>-3.7084413359934218E-2</v>
      </c>
      <c r="D31" s="3">
        <v>2.4043937390053539E-2</v>
      </c>
      <c r="E31" s="3">
        <v>1.0215250890025456E-2</v>
      </c>
      <c r="F31" s="3">
        <v>-4.7044766668001128E-2</v>
      </c>
      <c r="G31" s="3">
        <v>-7.8826214576818487E-2</v>
      </c>
    </row>
    <row r="32" spans="1:7" x14ac:dyDescent="0.2">
      <c r="A32" s="2">
        <v>33085</v>
      </c>
      <c r="B32">
        <v>-3.7767153817837525E-2</v>
      </c>
      <c r="C32" s="3">
        <v>-4.9285889015801922E-2</v>
      </c>
      <c r="D32" s="3">
        <v>-5.9348132894106878E-3</v>
      </c>
      <c r="E32" s="3">
        <v>2.3907438215218468E-2</v>
      </c>
      <c r="F32" s="3">
        <v>-3.7397063186978434E-2</v>
      </c>
      <c r="G32" s="3">
        <v>-5.8973839329851965E-2</v>
      </c>
    </row>
    <row r="33" spans="1:7" x14ac:dyDescent="0.2">
      <c r="A33" s="2">
        <v>33116</v>
      </c>
      <c r="B33">
        <v>-9.8686545162540718E-2</v>
      </c>
      <c r="C33" s="3">
        <v>-9.7313208677118096E-2</v>
      </c>
      <c r="D33" s="3">
        <v>-5.6466746279164273E-2</v>
      </c>
      <c r="E33" s="3">
        <v>-0.160695252942853</v>
      </c>
      <c r="F33" s="3">
        <v>-0.13640988897632306</v>
      </c>
      <c r="G33" s="3">
        <v>-0.10115483175808059</v>
      </c>
    </row>
    <row r="34" spans="1:7" x14ac:dyDescent="0.2">
      <c r="A34" s="2">
        <v>33144</v>
      </c>
      <c r="B34">
        <v>-0.14351542101832582</v>
      </c>
      <c r="C34" s="3">
        <v>-8.0460777629554961E-2</v>
      </c>
      <c r="D34" s="3">
        <v>-0.12651002137922479</v>
      </c>
      <c r="E34" s="3">
        <v>-0.22593345754397073</v>
      </c>
      <c r="F34" s="3">
        <v>-0.14311478851452897</v>
      </c>
      <c r="G34" s="3">
        <v>-0.20901529912549038</v>
      </c>
    </row>
    <row r="35" spans="1:7" x14ac:dyDescent="0.2">
      <c r="A35" s="2">
        <v>33177</v>
      </c>
      <c r="B35">
        <v>6.7112219360834544E-2</v>
      </c>
      <c r="C35" s="3">
        <v>-2.6335672613323039E-2</v>
      </c>
      <c r="D35" s="3">
        <v>5.4075657250549213E-2</v>
      </c>
      <c r="E35" s="3">
        <v>9.9925940312263067E-2</v>
      </c>
      <c r="F35" s="3">
        <v>8.2779812890507232E-2</v>
      </c>
      <c r="G35" s="3">
        <v>0.19661849146358057</v>
      </c>
    </row>
    <row r="36" spans="1:7" x14ac:dyDescent="0.2">
      <c r="A36" s="2">
        <v>33207</v>
      </c>
      <c r="B36">
        <v>-7.0240080783311827E-3</v>
      </c>
      <c r="C36" s="3">
        <v>7.2293744774961394E-2</v>
      </c>
      <c r="D36" s="3">
        <v>6.1263761632530313E-2</v>
      </c>
      <c r="E36" s="3">
        <v>2.9920023091645799E-2</v>
      </c>
      <c r="F36" s="3">
        <v>-4.8610357451832266E-4</v>
      </c>
      <c r="G36" s="3">
        <v>-0.1167963318086524</v>
      </c>
    </row>
    <row r="37" spans="1:7" x14ac:dyDescent="0.2">
      <c r="A37" s="2">
        <v>33238</v>
      </c>
      <c r="B37">
        <v>2.1030125668923254E-2</v>
      </c>
      <c r="C37" s="3">
        <v>2.6863739215261952E-2</v>
      </c>
      <c r="D37" s="3">
        <v>-8.4159961421932435E-3</v>
      </c>
      <c r="E37" s="3">
        <v>-3.5968726502632595E-2</v>
      </c>
      <c r="F37" s="3">
        <v>-4.9005100218930613E-2</v>
      </c>
      <c r="G37" s="3">
        <v>4.7905616289591044E-2</v>
      </c>
    </row>
    <row r="38" spans="1:7" x14ac:dyDescent="0.2">
      <c r="A38" s="2">
        <v>33269</v>
      </c>
      <c r="B38">
        <v>1.7019849785870903E-2</v>
      </c>
      <c r="C38" s="3">
        <v>2.6912381741093176E-2</v>
      </c>
      <c r="D38" s="3">
        <v>1.6981521848974862E-2</v>
      </c>
      <c r="E38" s="3">
        <v>8.2481168339460457E-3</v>
      </c>
      <c r="F38" s="3">
        <v>1.9569796643799452E-2</v>
      </c>
      <c r="G38" s="3">
        <v>1.0758757075110146E-2</v>
      </c>
    </row>
    <row r="39" spans="1:7" x14ac:dyDescent="0.2">
      <c r="A39" s="2">
        <v>33297</v>
      </c>
      <c r="B39">
        <v>0.17134700594419355</v>
      </c>
      <c r="C39" s="3">
        <v>0.14891465069559504</v>
      </c>
      <c r="D39" s="3">
        <v>0.15962239759019159</v>
      </c>
      <c r="E39" s="3">
        <v>0.15099580329101073</v>
      </c>
      <c r="F39" s="3">
        <v>0.17423468867061817</v>
      </c>
      <c r="G39" s="3">
        <v>0.20307657461093809</v>
      </c>
    </row>
    <row r="40" spans="1:7" x14ac:dyDescent="0.2">
      <c r="A40" s="2">
        <v>33326</v>
      </c>
      <c r="B40">
        <v>2.0104400880033443E-2</v>
      </c>
      <c r="C40" s="3">
        <v>7.338506848051303E-2</v>
      </c>
      <c r="D40" s="3">
        <v>-5.0387994608437322E-3</v>
      </c>
      <c r="E40" s="3">
        <v>-9.356643257257026E-2</v>
      </c>
      <c r="F40" s="3">
        <v>-2.5461997372090258E-2</v>
      </c>
      <c r="G40" s="3">
        <v>-1.2715584199762119E-2</v>
      </c>
    </row>
    <row r="41" spans="1:7" x14ac:dyDescent="0.2">
      <c r="A41" s="2">
        <v>33358</v>
      </c>
      <c r="B41">
        <v>1.9183696360281763E-2</v>
      </c>
      <c r="C41" s="3">
        <v>1.4550669810924561E-2</v>
      </c>
      <c r="D41" s="3">
        <v>-2.8687580319623042E-3</v>
      </c>
      <c r="E41" s="3">
        <v>4.5936547503021216E-2</v>
      </c>
      <c r="F41" s="3">
        <v>-1.5961141114454902E-2</v>
      </c>
      <c r="G41" s="3">
        <v>3.7432353534715766E-2</v>
      </c>
    </row>
    <row r="42" spans="1:7" x14ac:dyDescent="0.2">
      <c r="A42" s="2">
        <v>33389</v>
      </c>
      <c r="B42">
        <v>5.7149201824865034E-2</v>
      </c>
      <c r="C42" s="3">
        <v>7.4808900499597153E-2</v>
      </c>
      <c r="D42" s="3">
        <v>4.0148065980135234E-2</v>
      </c>
      <c r="E42" s="3">
        <v>9.7797302406311418E-2</v>
      </c>
      <c r="F42" s="3">
        <v>7.2506595048165326E-2</v>
      </c>
      <c r="G42" s="3">
        <v>3.1544960405072875E-2</v>
      </c>
    </row>
    <row r="43" spans="1:7" x14ac:dyDescent="0.2">
      <c r="A43" s="2">
        <v>33417</v>
      </c>
      <c r="B43">
        <v>-6.4370222673823335E-2</v>
      </c>
      <c r="C43" s="3">
        <v>-4.8275783821020962E-2</v>
      </c>
      <c r="D43" s="3">
        <v>-9.00389592529625E-2</v>
      </c>
      <c r="E43" s="3">
        <v>-9.8132187319452321E-2</v>
      </c>
      <c r="F43" s="3">
        <v>-0.10084512779127003</v>
      </c>
      <c r="G43" s="3">
        <v>-7.3896904692101348E-2</v>
      </c>
    </row>
    <row r="44" spans="1:7" x14ac:dyDescent="0.2">
      <c r="A44" s="2">
        <v>33450</v>
      </c>
      <c r="B44">
        <v>2.1990420938901259E-2</v>
      </c>
      <c r="C44" s="3">
        <v>2.0951249229775114E-2</v>
      </c>
      <c r="D44" s="3">
        <v>8.5326723340775845E-2</v>
      </c>
      <c r="E44" s="3">
        <v>9.1413729267369355E-3</v>
      </c>
      <c r="F44" s="3">
        <v>1.8323037133162714E-2</v>
      </c>
      <c r="G44" s="3">
        <v>7.7008987166694472E-3</v>
      </c>
    </row>
    <row r="45" spans="1:7" x14ac:dyDescent="0.2">
      <c r="A45" s="2">
        <v>33480</v>
      </c>
      <c r="B45">
        <v>-3.3081336713605372E-2</v>
      </c>
      <c r="C45" s="3">
        <v>-6.5701989773915359E-3</v>
      </c>
      <c r="D45" s="3">
        <v>-5.5880322972484877E-3</v>
      </c>
      <c r="E45" s="3">
        <v>-1.6756323449084197E-2</v>
      </c>
      <c r="F45" s="3">
        <v>3.0495021363988538E-2</v>
      </c>
      <c r="G45" s="3">
        <v>-8.5329784948312823E-2</v>
      </c>
    </row>
    <row r="46" spans="1:7" x14ac:dyDescent="0.2">
      <c r="A46" s="2">
        <v>33511</v>
      </c>
      <c r="B46">
        <v>2.264595097203739E-2</v>
      </c>
      <c r="C46" s="3">
        <v>-2.1039349092666484E-2</v>
      </c>
      <c r="D46" s="3">
        <v>3.2822739136474835E-2</v>
      </c>
      <c r="E46" s="3">
        <v>1.8724510014812699E-2</v>
      </c>
      <c r="F46" s="3">
        <v>5.5011275095923212E-2</v>
      </c>
      <c r="G46" s="3">
        <v>8.1903785065322018E-2</v>
      </c>
    </row>
    <row r="47" spans="1:7" x14ac:dyDescent="0.2">
      <c r="A47" s="2">
        <v>33542</v>
      </c>
      <c r="B47">
        <v>-2.3910758422983333E-2</v>
      </c>
      <c r="C47" s="3">
        <v>-2.3593679424833661E-2</v>
      </c>
      <c r="D47" s="3">
        <v>-6.681891542841735E-2</v>
      </c>
      <c r="E47" s="3">
        <v>-6.2979240685470533E-2</v>
      </c>
      <c r="F47" s="3">
        <v>-5.5436420510764785E-2</v>
      </c>
      <c r="G47" s="3">
        <v>3.683304432423385E-3</v>
      </c>
    </row>
    <row r="48" spans="1:7" x14ac:dyDescent="0.2">
      <c r="A48" s="2">
        <v>33571</v>
      </c>
      <c r="B48">
        <v>-7.8829701058148974E-2</v>
      </c>
      <c r="C48" s="3">
        <v>-7.6209837332256836E-2</v>
      </c>
      <c r="D48" s="3">
        <v>-8.3910069729437375E-2</v>
      </c>
      <c r="E48" s="3">
        <v>-1.8022303528748604E-2</v>
      </c>
      <c r="F48" s="3">
        <v>-5.9614747133308915E-2</v>
      </c>
      <c r="G48" s="3">
        <v>-0.10604519048628193</v>
      </c>
    </row>
    <row r="49" spans="1:7" x14ac:dyDescent="0.2">
      <c r="A49" s="2">
        <v>33603</v>
      </c>
      <c r="B49">
        <v>7.537268247542625E-2</v>
      </c>
      <c r="C49" s="3">
        <v>0.11274641175917162</v>
      </c>
      <c r="D49" s="3">
        <v>8.5793379007635895E-2</v>
      </c>
      <c r="E49" s="3">
        <v>7.5995933612899566E-2</v>
      </c>
      <c r="F49" s="3">
        <v>8.9931458291372918E-2</v>
      </c>
      <c r="G49" s="3">
        <v>3.7615769562334027E-2</v>
      </c>
    </row>
    <row r="50" spans="1:7" x14ac:dyDescent="0.2">
      <c r="A50" s="2">
        <v>33634</v>
      </c>
      <c r="B50">
        <v>1.2502202171188956E-3</v>
      </c>
      <c r="C50" s="3">
        <v>2.5370218772745893E-3</v>
      </c>
      <c r="D50" s="3">
        <v>8.6219842985651302E-3</v>
      </c>
      <c r="E50" s="3">
        <v>2.7154627414078612E-2</v>
      </c>
      <c r="F50" s="3">
        <v>2.3449427894263297E-2</v>
      </c>
      <c r="G50" s="3">
        <v>-2.6166748028454184E-2</v>
      </c>
    </row>
    <row r="51" spans="1:7" x14ac:dyDescent="0.2">
      <c r="A51" s="2">
        <v>33662</v>
      </c>
      <c r="B51">
        <v>7.0327552654357141E-3</v>
      </c>
      <c r="C51" s="3">
        <v>3.5302992178229797E-2</v>
      </c>
      <c r="D51" s="3">
        <v>1.1983720271929215E-2</v>
      </c>
      <c r="E51" s="3">
        <v>4.9574286052117514E-2</v>
      </c>
      <c r="F51" s="3">
        <v>6.4495332769220648E-2</v>
      </c>
      <c r="G51" s="3">
        <v>-6.1410516849410408E-2</v>
      </c>
    </row>
    <row r="52" spans="1:7" x14ac:dyDescent="0.2">
      <c r="A52" s="2">
        <v>33694</v>
      </c>
      <c r="B52">
        <v>-5.9330004796231101E-2</v>
      </c>
      <c r="C52" s="3">
        <v>-3.0203669538582528E-2</v>
      </c>
      <c r="D52" s="3">
        <v>-7.0646837283446881E-2</v>
      </c>
      <c r="E52" s="3">
        <v>-3.2625818269083298E-2</v>
      </c>
      <c r="F52" s="3">
        <v>-2.2253685570394935E-2</v>
      </c>
      <c r="G52" s="3">
        <v>-0.1244612497161706</v>
      </c>
    </row>
    <row r="53" spans="1:7" x14ac:dyDescent="0.2">
      <c r="A53" s="2">
        <v>33724</v>
      </c>
      <c r="B53">
        <v>-7.4918041306703178E-3</v>
      </c>
      <c r="C53" s="3">
        <v>7.0366675859231233E-3</v>
      </c>
      <c r="D53" s="3">
        <v>9.0698873189313106E-2</v>
      </c>
      <c r="E53" s="3">
        <v>-2.529964677276559E-2</v>
      </c>
      <c r="F53" s="3">
        <v>2.9810976038752299E-2</v>
      </c>
      <c r="G53" s="3">
        <v>-8.3524408733420069E-2</v>
      </c>
    </row>
    <row r="54" spans="1:7" x14ac:dyDescent="0.2">
      <c r="A54" s="2">
        <v>33753</v>
      </c>
      <c r="B54">
        <v>7.9890822659520917E-3</v>
      </c>
      <c r="C54" s="3">
        <v>-2.7439084514488322E-2</v>
      </c>
      <c r="D54" s="3">
        <v>2.352822779487343E-2</v>
      </c>
      <c r="E54" s="3">
        <v>3.1023257863906514E-2</v>
      </c>
      <c r="F54" s="3">
        <v>1.110663413005619E-2</v>
      </c>
      <c r="G54" s="3">
        <v>4.7258142291697135E-2</v>
      </c>
    </row>
    <row r="55" spans="1:7" x14ac:dyDescent="0.2">
      <c r="A55" s="2">
        <v>33785</v>
      </c>
      <c r="B55">
        <v>-8.4894694907510865E-2</v>
      </c>
      <c r="C55" s="3">
        <v>-6.6670547421146809E-2</v>
      </c>
      <c r="D55" s="3">
        <v>-9.0515492867383862E-2</v>
      </c>
      <c r="E55" s="3">
        <v>-3.2860086698461015E-2</v>
      </c>
      <c r="F55" s="3">
        <v>-6.4497701287721115E-2</v>
      </c>
      <c r="G55" s="3">
        <v>-0.14537410079240434</v>
      </c>
    </row>
    <row r="56" spans="1:7" x14ac:dyDescent="0.2">
      <c r="A56" s="2">
        <v>33816</v>
      </c>
      <c r="B56">
        <v>-2.5074683675657499E-2</v>
      </c>
      <c r="C56" s="3">
        <v>1.2859766406133516E-2</v>
      </c>
      <c r="D56" s="3">
        <v>-6.7127050455431825E-2</v>
      </c>
      <c r="E56" s="3">
        <v>-8.337896506092482E-2</v>
      </c>
      <c r="F56" s="3">
        <v>-6.9815698208697069E-2</v>
      </c>
      <c r="G56" s="3">
        <v>-3.7796885919074374E-2</v>
      </c>
    </row>
    <row r="57" spans="1:7" x14ac:dyDescent="0.2">
      <c r="A57" s="2">
        <v>33847</v>
      </c>
      <c r="B57">
        <v>4.4769446450383249E-2</v>
      </c>
      <c r="C57" s="3">
        <v>-3.9493273633025511E-3</v>
      </c>
      <c r="D57" s="3">
        <v>1.6938647716302473E-2</v>
      </c>
      <c r="E57" s="3">
        <v>2.0501924616835299E-2</v>
      </c>
      <c r="F57" s="3">
        <v>3.0464192141534997E-2</v>
      </c>
      <c r="G57" s="3">
        <v>0.1852835736411913</v>
      </c>
    </row>
    <row r="58" spans="1:7" x14ac:dyDescent="0.2">
      <c r="A58" s="2">
        <v>33877</v>
      </c>
      <c r="B58">
        <v>2.9460797547295237E-2</v>
      </c>
      <c r="C58" s="3">
        <v>4.9054638565347725E-2</v>
      </c>
      <c r="D58" s="3">
        <v>1.9482367799613518E-2</v>
      </c>
      <c r="E58" s="3">
        <v>-5.6696480515859387E-4</v>
      </c>
      <c r="F58" s="3">
        <v>7.0312801243373871E-2</v>
      </c>
      <c r="G58" s="3">
        <v>1.5797594601687177E-2</v>
      </c>
    </row>
    <row r="59" spans="1:7" x14ac:dyDescent="0.2">
      <c r="A59" s="2">
        <v>33907</v>
      </c>
      <c r="B59">
        <v>3.3940081628878488E-2</v>
      </c>
      <c r="C59" s="3">
        <v>6.7017669642766189E-2</v>
      </c>
      <c r="D59" s="3">
        <v>-2.2775645485944341E-2</v>
      </c>
      <c r="E59" s="3">
        <v>-1.029428920404791E-2</v>
      </c>
      <c r="F59" s="3">
        <v>-2.4649978395835544E-2</v>
      </c>
      <c r="G59" s="3">
        <v>1.5198781690833047E-2</v>
      </c>
    </row>
    <row r="60" spans="1:7" x14ac:dyDescent="0.2">
      <c r="A60" s="2">
        <v>33938</v>
      </c>
      <c r="B60">
        <v>1.5121122526482855E-2</v>
      </c>
      <c r="C60" s="3">
        <v>2.963332361175618E-2</v>
      </c>
      <c r="D60" s="3">
        <v>9.0516905752194461E-3</v>
      </c>
      <c r="E60" s="3">
        <v>-8.5717938235325385E-3</v>
      </c>
      <c r="F60" s="3">
        <v>-1.9144446039184478E-2</v>
      </c>
      <c r="G60" s="3">
        <v>2.4188927541748714E-2</v>
      </c>
    </row>
    <row r="61" spans="1:7" x14ac:dyDescent="0.2">
      <c r="A61" s="2">
        <v>33969</v>
      </c>
      <c r="B61">
        <v>2.5435412489115263E-2</v>
      </c>
      <c r="C61" s="3">
        <v>2.7890976859736426E-2</v>
      </c>
      <c r="D61" s="3">
        <v>5.7955371639341377E-2</v>
      </c>
      <c r="E61" s="3">
        <v>1.5781948184140006E-3</v>
      </c>
      <c r="F61" s="3">
        <v>4.3269071217464594E-2</v>
      </c>
      <c r="G61" s="3">
        <v>3.7617786965129314E-3</v>
      </c>
    </row>
    <row r="62" spans="1:7" x14ac:dyDescent="0.2">
      <c r="A62" s="2">
        <v>33998</v>
      </c>
      <c r="B62">
        <v>2.6017301697245934E-2</v>
      </c>
      <c r="C62" s="3">
        <v>3.1010977103256315E-2</v>
      </c>
      <c r="D62" s="3">
        <v>-2.4595622449377272E-4</v>
      </c>
      <c r="E62" s="3">
        <v>5.5215693152885749E-2</v>
      </c>
      <c r="F62" s="3">
        <v>-2.9700959749344512E-3</v>
      </c>
      <c r="G62" s="3">
        <v>2.0656620905952508E-2</v>
      </c>
    </row>
    <row r="63" spans="1:7" x14ac:dyDescent="0.2">
      <c r="A63" s="2">
        <v>34026</v>
      </c>
      <c r="B63">
        <v>2.6451509306779773E-2</v>
      </c>
      <c r="C63" s="3">
        <v>1.5633541513935895E-2</v>
      </c>
      <c r="D63" s="3">
        <v>-2.2498458579875882E-2</v>
      </c>
      <c r="E63" s="3">
        <v>5.3687427797089418E-2</v>
      </c>
      <c r="F63" s="3">
        <v>8.6822668457982421E-2</v>
      </c>
      <c r="G63" s="3">
        <v>4.6594616308641437E-2</v>
      </c>
    </row>
    <row r="64" spans="1:7" x14ac:dyDescent="0.2">
      <c r="A64" s="2">
        <v>34059</v>
      </c>
      <c r="B64">
        <v>1.9953911652708049E-2</v>
      </c>
      <c r="C64" s="3">
        <v>-1.6522132410940138E-2</v>
      </c>
      <c r="D64" s="3">
        <v>3.3425962063581081E-2</v>
      </c>
      <c r="E64" s="3">
        <v>-8.0906035343694341E-3</v>
      </c>
      <c r="F64" s="3">
        <v>8.9087654761181578E-3</v>
      </c>
      <c r="G64" s="3">
        <v>9.6372919327626066E-2</v>
      </c>
    </row>
    <row r="65" spans="1:7" x14ac:dyDescent="0.2">
      <c r="A65" s="2">
        <v>34089</v>
      </c>
      <c r="B65">
        <v>4.6026972798574525E-2</v>
      </c>
      <c r="C65" s="3">
        <v>-2.2207991845033848E-2</v>
      </c>
      <c r="D65" s="3">
        <v>2.8848924368408614E-2</v>
      </c>
      <c r="E65" s="3">
        <v>-1.2834047900776463E-2</v>
      </c>
      <c r="F65" s="3">
        <v>-1.3418365732594216E-2</v>
      </c>
      <c r="G65" s="3">
        <v>0.16551235701302441</v>
      </c>
    </row>
    <row r="66" spans="1:7" x14ac:dyDescent="0.2">
      <c r="A66" s="2">
        <v>34120</v>
      </c>
      <c r="B66">
        <v>4.9838253313452013E-2</v>
      </c>
      <c r="C66" s="3">
        <v>5.1676668451886586E-2</v>
      </c>
      <c r="D66" s="3">
        <v>3.3224562784945733E-2</v>
      </c>
      <c r="E66" s="3">
        <v>2.4668725991526776E-2</v>
      </c>
      <c r="F66" s="3">
        <v>1.0852144104177798E-3</v>
      </c>
      <c r="G66" s="3">
        <v>5.5389363457867685E-2</v>
      </c>
    </row>
    <row r="67" spans="1:7" x14ac:dyDescent="0.2">
      <c r="A67" s="2">
        <v>34150</v>
      </c>
      <c r="B67">
        <v>3.1400488086297335E-2</v>
      </c>
      <c r="C67" s="3">
        <v>4.2322588625637758E-2</v>
      </c>
      <c r="D67" s="3">
        <v>2.8463046216191987E-2</v>
      </c>
      <c r="E67" s="3">
        <v>6.5479417743896755E-3</v>
      </c>
      <c r="F67" s="3">
        <v>2.5140140793755199E-2</v>
      </c>
      <c r="G67" s="3">
        <v>2.7011845288464245E-2</v>
      </c>
    </row>
    <row r="68" spans="1:7" x14ac:dyDescent="0.2">
      <c r="A68" s="2">
        <v>34180</v>
      </c>
      <c r="B68">
        <v>2.6349836804863202E-2</v>
      </c>
      <c r="C68" s="3">
        <v>4.2064679794321684E-3</v>
      </c>
      <c r="D68" s="3">
        <v>2.0707122497185585E-3</v>
      </c>
      <c r="E68" s="3">
        <v>3.889880363257165E-2</v>
      </c>
      <c r="F68" s="3">
        <v>1.8514680855864576E-2</v>
      </c>
      <c r="G68" s="3">
        <v>6.8489442569763442E-2</v>
      </c>
    </row>
    <row r="69" spans="1:7" x14ac:dyDescent="0.2">
      <c r="A69" s="2">
        <v>34212</v>
      </c>
      <c r="B69">
        <v>2.6673551132389696E-3</v>
      </c>
      <c r="C69" s="3">
        <v>-7.3481925624598841E-3</v>
      </c>
      <c r="D69" s="3">
        <v>2.4855006656865242E-2</v>
      </c>
      <c r="E69" s="3">
        <v>6.391297849133018E-2</v>
      </c>
      <c r="F69" s="3">
        <v>4.1562964899398237E-2</v>
      </c>
      <c r="G69" s="3">
        <v>-1.9511723901998283E-2</v>
      </c>
    </row>
    <row r="70" spans="1:7" x14ac:dyDescent="0.2">
      <c r="A70" s="2">
        <v>34242</v>
      </c>
      <c r="B70">
        <v>-8.6142675399023417E-3</v>
      </c>
      <c r="C70" s="3">
        <v>-4.9459681730362639E-4</v>
      </c>
      <c r="D70" s="3">
        <v>-2.4329783785001337E-3</v>
      </c>
      <c r="E70" s="3">
        <v>2.711927046741943E-2</v>
      </c>
      <c r="F70" s="3">
        <v>1.4515098297643424E-3</v>
      </c>
      <c r="G70" s="3">
        <v>-3.7570686080410233E-2</v>
      </c>
    </row>
    <row r="71" spans="1:7" x14ac:dyDescent="0.2">
      <c r="A71" s="2">
        <v>34271</v>
      </c>
      <c r="B71">
        <v>5.2092187886320036E-2</v>
      </c>
      <c r="C71" s="3">
        <v>4.1686566937764527E-2</v>
      </c>
      <c r="D71" s="3">
        <v>6.2502451725004196E-2</v>
      </c>
      <c r="E71" s="3">
        <v>8.319335724697513E-2</v>
      </c>
      <c r="F71" s="3">
        <v>3.3920070304041747E-2</v>
      </c>
      <c r="G71" s="3">
        <v>2.1410500625336327E-2</v>
      </c>
    </row>
    <row r="72" spans="1:7" x14ac:dyDescent="0.2">
      <c r="A72" s="2">
        <v>34303</v>
      </c>
      <c r="B72">
        <v>-6.0345906955311023E-2</v>
      </c>
      <c r="C72" s="3">
        <v>-9.4793265252221294E-3</v>
      </c>
      <c r="D72" s="3">
        <v>1.5481968690671116E-3</v>
      </c>
      <c r="E72" s="3">
        <v>-2.5539379223980956E-2</v>
      </c>
      <c r="F72" s="3">
        <v>-3.3378108990252578E-2</v>
      </c>
      <c r="G72" s="3">
        <v>-0.18253529531316887</v>
      </c>
    </row>
    <row r="73" spans="1:7" x14ac:dyDescent="0.2">
      <c r="A73" s="2">
        <v>34334</v>
      </c>
      <c r="B73">
        <v>5.9648057110449938E-2</v>
      </c>
      <c r="C73" s="3">
        <v>2.3240694993601228E-2</v>
      </c>
      <c r="D73" s="3">
        <v>8.3290199439041521E-2</v>
      </c>
      <c r="E73" s="3">
        <v>6.8907864718814466E-2</v>
      </c>
      <c r="F73" s="3">
        <v>9.2160239155524432E-2</v>
      </c>
      <c r="G73" s="3">
        <v>4.4112379267875694E-2</v>
      </c>
    </row>
    <row r="74" spans="1:7" x14ac:dyDescent="0.2">
      <c r="A74" s="2">
        <v>34365</v>
      </c>
      <c r="B74">
        <v>5.8504914341916285E-2</v>
      </c>
      <c r="C74" s="3">
        <v>2.9693535026686244E-2</v>
      </c>
      <c r="D74" s="3">
        <v>3.7764694441312231E-2</v>
      </c>
      <c r="E74" s="3">
        <v>-3.4570741559421941E-2</v>
      </c>
      <c r="F74" s="3">
        <v>3.3300404334326066E-2</v>
      </c>
      <c r="G74" s="3">
        <v>0.14530738430911755</v>
      </c>
    </row>
    <row r="75" spans="1:7" x14ac:dyDescent="0.2">
      <c r="A75" s="2">
        <v>34393</v>
      </c>
      <c r="B75">
        <v>-3.5470900088342208E-2</v>
      </c>
      <c r="C75" s="3">
        <v>-5.1637910669067359E-2</v>
      </c>
      <c r="D75" s="3">
        <v>-7.4002718347961294E-2</v>
      </c>
      <c r="E75" s="3">
        <v>-4.0934373693210437E-2</v>
      </c>
      <c r="F75" s="3">
        <v>-4.1217164707609069E-2</v>
      </c>
      <c r="G75" s="3">
        <v>2.3308012756812168E-2</v>
      </c>
    </row>
    <row r="76" spans="1:7" x14ac:dyDescent="0.2">
      <c r="A76" s="2">
        <v>34424</v>
      </c>
      <c r="B76">
        <v>-4.2814367873678524E-2</v>
      </c>
      <c r="C76" s="3">
        <v>-4.3727518946409576E-2</v>
      </c>
      <c r="D76" s="3">
        <v>-6.8999064048701528E-2</v>
      </c>
      <c r="E76" s="3">
        <v>3.587882852601669E-2</v>
      </c>
      <c r="F76" s="3">
        <v>-4.4969915412563559E-2</v>
      </c>
      <c r="G76" s="3">
        <v>-4.1350756808486787E-2</v>
      </c>
    </row>
    <row r="77" spans="1:7" x14ac:dyDescent="0.2">
      <c r="A77" s="2">
        <v>34453</v>
      </c>
      <c r="B77">
        <v>7.1321408228271653E-3</v>
      </c>
      <c r="C77" s="3">
        <v>-9.8598066455527177E-3</v>
      </c>
      <c r="D77" s="3">
        <v>1.1388792978395774E-2</v>
      </c>
      <c r="E77" s="3">
        <v>3.5474296523491738E-2</v>
      </c>
      <c r="F77" s="3">
        <v>2.0359866024403765E-2</v>
      </c>
      <c r="G77" s="3">
        <v>1.9509482012785639E-2</v>
      </c>
    </row>
    <row r="78" spans="1:7" x14ac:dyDescent="0.2">
      <c r="A78" s="2">
        <v>34485</v>
      </c>
      <c r="B78">
        <v>-1.5383757030036617E-2</v>
      </c>
      <c r="C78" s="3">
        <v>-2.1132627876263204E-3</v>
      </c>
      <c r="D78" s="3">
        <v>-7.2836762675389091E-2</v>
      </c>
      <c r="E78" s="3">
        <v>-7.6943788674178767E-2</v>
      </c>
      <c r="F78" s="3">
        <v>-6.5847703379204897E-2</v>
      </c>
      <c r="G78" s="3">
        <v>4.8176711302205201E-3</v>
      </c>
    </row>
    <row r="79" spans="1:7" x14ac:dyDescent="0.2">
      <c r="A79" s="2">
        <v>34515</v>
      </c>
      <c r="B79">
        <v>-3.5716240135001423E-2</v>
      </c>
      <c r="C79" s="3">
        <v>-6.2100377765413689E-2</v>
      </c>
      <c r="D79" s="3">
        <v>-3.0680346139762938E-2</v>
      </c>
      <c r="E79" s="3">
        <v>-2.9469670329666842E-2</v>
      </c>
      <c r="F79" s="3">
        <v>-7.2126582053620145E-2</v>
      </c>
      <c r="G79" s="3">
        <v>1.6370365826811856E-2</v>
      </c>
    </row>
    <row r="80" spans="1:7" x14ac:dyDescent="0.2">
      <c r="A80" s="2">
        <v>34544</v>
      </c>
      <c r="B80">
        <v>1.8391673539941211E-2</v>
      </c>
      <c r="C80" s="3">
        <v>3.2154568182446011E-2</v>
      </c>
      <c r="D80" s="3">
        <v>5.0806369556097207E-2</v>
      </c>
      <c r="E80" s="3">
        <v>4.8120373939935276E-2</v>
      </c>
      <c r="F80" s="3">
        <v>9.4109284880516009E-2</v>
      </c>
      <c r="G80" s="3">
        <v>-3.5903258549440313E-2</v>
      </c>
    </row>
    <row r="81" spans="1:7" x14ac:dyDescent="0.2">
      <c r="A81" s="2">
        <v>34577</v>
      </c>
      <c r="B81">
        <v>1.7346425628268655E-2</v>
      </c>
      <c r="C81" s="3">
        <v>2.5704073819387406E-2</v>
      </c>
      <c r="D81" s="3">
        <v>4.2307530082439086E-2</v>
      </c>
      <c r="E81" s="3">
        <v>2.4264444746934836E-2</v>
      </c>
      <c r="F81" s="3">
        <v>-6.8158237617686719E-3</v>
      </c>
      <c r="G81" s="3">
        <v>-4.4632694818007874E-3</v>
      </c>
    </row>
    <row r="82" spans="1:7" x14ac:dyDescent="0.2">
      <c r="A82" s="2">
        <v>34607</v>
      </c>
      <c r="B82">
        <v>-4.754441265048498E-2</v>
      </c>
      <c r="C82" s="3">
        <v>-4.285043433202846E-2</v>
      </c>
      <c r="D82" s="3">
        <v>-6.9363680941962158E-2</v>
      </c>
      <c r="E82" s="3">
        <v>-8.1588222620400261E-2</v>
      </c>
      <c r="F82" s="3">
        <v>-9.0766043795546092E-2</v>
      </c>
      <c r="G82" s="3">
        <v>-4.4784111413736685E-2</v>
      </c>
    </row>
    <row r="83" spans="1:7" x14ac:dyDescent="0.2">
      <c r="A83" s="2">
        <v>34638</v>
      </c>
      <c r="B83">
        <v>4.118936518099027E-2</v>
      </c>
      <c r="C83" s="3">
        <v>3.5332569658328775E-2</v>
      </c>
      <c r="D83" s="3">
        <v>6.8543700384004494E-2</v>
      </c>
      <c r="E83" s="3">
        <v>6.7939966745806504E-2</v>
      </c>
      <c r="F83" s="3">
        <v>4.8410323969236203E-2</v>
      </c>
      <c r="G83" s="3">
        <v>4.1320970692421015E-2</v>
      </c>
    </row>
    <row r="84" spans="1:7" x14ac:dyDescent="0.2">
      <c r="A84" s="2">
        <v>34668</v>
      </c>
      <c r="B84">
        <v>-2.5756551140861655E-2</v>
      </c>
      <c r="C84" s="3">
        <v>-1.6718847471256796E-2</v>
      </c>
      <c r="D84" s="3">
        <v>-2.6948479742386362E-2</v>
      </c>
      <c r="E84" s="3">
        <v>-3.4834675405810485E-2</v>
      </c>
      <c r="F84" s="3">
        <v>8.1515705715268921E-3</v>
      </c>
      <c r="G84" s="3">
        <v>-3.1892402329011624E-2</v>
      </c>
    </row>
    <row r="85" spans="1:7" x14ac:dyDescent="0.2">
      <c r="A85" s="2">
        <v>34698</v>
      </c>
      <c r="B85">
        <v>-1.2680505965948857E-2</v>
      </c>
      <c r="C85" s="3">
        <v>-8.2838695647978137E-3</v>
      </c>
      <c r="D85" s="3">
        <v>-2.2317365259636669E-2</v>
      </c>
      <c r="E85" s="3">
        <v>1.3612077882260674E-2</v>
      </c>
      <c r="F85" s="3">
        <v>-5.6933179511113437E-2</v>
      </c>
      <c r="G85" s="3">
        <v>-9.7339372532928709E-3</v>
      </c>
    </row>
    <row r="86" spans="1:7" x14ac:dyDescent="0.2">
      <c r="A86" s="2">
        <v>34730</v>
      </c>
      <c r="B86">
        <v>-2.7846609705399678E-2</v>
      </c>
      <c r="C86" s="3">
        <v>1.406738862988533E-2</v>
      </c>
      <c r="D86" s="3">
        <v>-2.9221235677034222E-2</v>
      </c>
      <c r="E86" s="3">
        <v>-3.1264608929332409E-2</v>
      </c>
      <c r="F86" s="3">
        <v>-3.6136302435603798E-2</v>
      </c>
      <c r="G86" s="3">
        <v>-7.1629652078012571E-2</v>
      </c>
    </row>
    <row r="87" spans="1:7" x14ac:dyDescent="0.2">
      <c r="A87" s="2">
        <v>34758</v>
      </c>
      <c r="B87">
        <v>-2.6874237703790001E-2</v>
      </c>
      <c r="C87" s="3">
        <v>-3.0426907531404587E-3</v>
      </c>
      <c r="D87" s="3">
        <v>-3.685317325586205E-2</v>
      </c>
      <c r="E87" s="3">
        <v>4.0649322436286876E-2</v>
      </c>
      <c r="F87" s="3">
        <v>-2.4515861837487E-2</v>
      </c>
      <c r="G87" s="3">
        <v>-8.9705744437715756E-2</v>
      </c>
    </row>
    <row r="88" spans="1:7" x14ac:dyDescent="0.2">
      <c r="A88" s="2">
        <v>34789</v>
      </c>
      <c r="B88">
        <v>2.6060305478487651E-2</v>
      </c>
      <c r="C88" s="3">
        <v>5.1255377984210128E-3</v>
      </c>
      <c r="D88" s="3">
        <v>5.0465965328319463E-2</v>
      </c>
      <c r="E88" s="3">
        <v>-4.3773727398224063E-2</v>
      </c>
      <c r="F88" s="3">
        <v>0.10299156498771887</v>
      </c>
      <c r="G88" s="3">
        <v>6.8122445358412304E-2</v>
      </c>
    </row>
    <row r="89" spans="1:7" x14ac:dyDescent="0.2">
      <c r="A89" s="2">
        <v>34817</v>
      </c>
      <c r="B89">
        <v>4.7943539501527278E-2</v>
      </c>
      <c r="C89" s="3">
        <v>4.426884475256361E-2</v>
      </c>
      <c r="D89" s="3">
        <v>2.6429722115196012E-2</v>
      </c>
      <c r="E89" s="3">
        <v>5.5614643373455189E-2</v>
      </c>
      <c r="F89" s="3">
        <v>2.3961498187858945E-2</v>
      </c>
      <c r="G89" s="3">
        <v>6.2402620917704411E-2</v>
      </c>
    </row>
    <row r="90" spans="1:7" x14ac:dyDescent="0.2">
      <c r="A90" s="2">
        <v>34850</v>
      </c>
      <c r="B90">
        <v>-1.4956964438922859E-3</v>
      </c>
      <c r="C90" s="3">
        <v>2.8029055093797686E-2</v>
      </c>
      <c r="D90" s="3">
        <v>1.1817515092941594E-2</v>
      </c>
      <c r="E90" s="3">
        <v>-1.2878285314326544E-3</v>
      </c>
      <c r="F90" s="3">
        <v>1.3198642551656245E-3</v>
      </c>
      <c r="G90" s="3">
        <v>-7.3015767085214858E-2</v>
      </c>
    </row>
    <row r="91" spans="1:7" x14ac:dyDescent="0.2">
      <c r="A91" s="2">
        <v>34880</v>
      </c>
      <c r="B91">
        <v>-1.3658310695020052E-2</v>
      </c>
      <c r="C91" s="3">
        <v>1.0737808767858721E-2</v>
      </c>
      <c r="D91" s="3">
        <v>-1.3402001531831438E-2</v>
      </c>
      <c r="E91" s="3">
        <v>1.5000539976149538E-2</v>
      </c>
      <c r="F91" s="3">
        <v>-3.0090128864506471E-2</v>
      </c>
      <c r="G91" s="3">
        <v>-6.1291425185459512E-2</v>
      </c>
    </row>
    <row r="92" spans="1:7" x14ac:dyDescent="0.2">
      <c r="A92" s="2">
        <v>34911</v>
      </c>
      <c r="B92">
        <v>7.7057413508258524E-2</v>
      </c>
      <c r="C92" s="3">
        <v>6.1400054961454092E-2</v>
      </c>
      <c r="D92" s="3">
        <v>8.1495871023280098E-2</v>
      </c>
      <c r="E92" s="3">
        <v>8.6223808381584319E-2</v>
      </c>
      <c r="F92" s="3">
        <v>7.3008340077897665E-2</v>
      </c>
      <c r="G92" s="3">
        <v>0.10583876582471907</v>
      </c>
    </row>
    <row r="93" spans="1:7" x14ac:dyDescent="0.2">
      <c r="A93" s="2">
        <v>34942</v>
      </c>
      <c r="B93">
        <v>-1.1383330764973181E-2</v>
      </c>
      <c r="C93" s="3">
        <v>1.0990418374816735E-2</v>
      </c>
      <c r="D93" s="3">
        <v>-1.3867015053839627E-2</v>
      </c>
      <c r="E93" s="3">
        <v>-4.394978320330746E-2</v>
      </c>
      <c r="F93" s="3">
        <v>-5.4483044983739209E-2</v>
      </c>
      <c r="G93" s="3">
        <v>-2.8819911258943329E-2</v>
      </c>
    </row>
    <row r="94" spans="1:7" x14ac:dyDescent="0.2">
      <c r="A94" s="2">
        <v>34971</v>
      </c>
      <c r="B94">
        <v>1.1455100562021668E-2</v>
      </c>
      <c r="C94" s="3">
        <v>2.6433973400567454E-2</v>
      </c>
      <c r="D94" s="3">
        <v>1.1393426942340426E-2</v>
      </c>
      <c r="E94" s="3">
        <v>-3.1517956941437674E-3</v>
      </c>
      <c r="F94" s="3">
        <v>-3.6226980035362552E-2</v>
      </c>
      <c r="G94" s="3">
        <v>-7.7609642586798696E-3</v>
      </c>
    </row>
    <row r="95" spans="1:7" x14ac:dyDescent="0.2">
      <c r="A95" s="2">
        <v>35003</v>
      </c>
      <c r="B95">
        <v>-1.5327808610311335E-2</v>
      </c>
      <c r="C95" s="3">
        <v>-9.2568489456243506E-5</v>
      </c>
      <c r="D95" s="3">
        <v>-1.6621505601895597E-3</v>
      </c>
      <c r="E95" s="3">
        <v>-1.1299615509348887E-2</v>
      </c>
      <c r="F95" s="3">
        <v>1.5914591561820561E-2</v>
      </c>
      <c r="G95" s="3">
        <v>-5.593685898058913E-2</v>
      </c>
    </row>
    <row r="96" spans="1:7" x14ac:dyDescent="0.2">
      <c r="A96" s="2">
        <v>35033</v>
      </c>
      <c r="B96">
        <v>4.8302070317005015E-2</v>
      </c>
      <c r="C96" s="3">
        <v>5.7015271401226919E-2</v>
      </c>
      <c r="D96" s="3">
        <v>1.9033619069458132E-2</v>
      </c>
      <c r="E96" s="3">
        <v>1.6493245215486382E-2</v>
      </c>
      <c r="F96" s="3">
        <v>9.3076479837052341E-3</v>
      </c>
      <c r="G96" s="3">
        <v>7.2704391931263532E-2</v>
      </c>
    </row>
    <row r="97" spans="1:7" x14ac:dyDescent="0.2">
      <c r="A97" s="2">
        <v>35062</v>
      </c>
      <c r="B97">
        <v>3.9361254263119025E-2</v>
      </c>
      <c r="C97" s="3">
        <v>2.5372938131552423E-2</v>
      </c>
      <c r="D97" s="3">
        <v>3.555411720098365E-2</v>
      </c>
      <c r="E97" s="3">
        <v>4.1036662898988038E-2</v>
      </c>
      <c r="F97" s="3">
        <v>5.1997554887412818E-2</v>
      </c>
      <c r="G97" s="3">
        <v>6.1450140609043122E-2</v>
      </c>
    </row>
    <row r="98" spans="1:7" x14ac:dyDescent="0.2">
      <c r="A98" s="2">
        <v>35095</v>
      </c>
      <c r="B98">
        <v>2.2167970849036839E-2</v>
      </c>
      <c r="C98" s="3">
        <v>3.9120631539554147E-2</v>
      </c>
      <c r="D98" s="3">
        <v>1.6175811405144333E-3</v>
      </c>
      <c r="E98" s="3">
        <v>4.6893946659593296E-2</v>
      </c>
      <c r="F98" s="3">
        <v>4.4226359663159596E-2</v>
      </c>
      <c r="G98" s="3">
        <v>-7.9714711782947964E-3</v>
      </c>
    </row>
    <row r="99" spans="1:7" x14ac:dyDescent="0.2">
      <c r="A99" s="2">
        <v>35124</v>
      </c>
      <c r="B99">
        <v>3.9196229958995497E-3</v>
      </c>
      <c r="C99" s="3">
        <v>8.0456260979101333E-3</v>
      </c>
      <c r="D99" s="3">
        <v>4.7851370098896647E-3</v>
      </c>
      <c r="E99" s="3">
        <v>7.0738565425389173E-3</v>
      </c>
      <c r="F99" s="3">
        <v>9.6305068144638545E-3</v>
      </c>
      <c r="G99" s="3">
        <v>-1.9087387378842781E-2</v>
      </c>
    </row>
    <row r="100" spans="1:7" x14ac:dyDescent="0.2">
      <c r="A100" s="2">
        <v>35153</v>
      </c>
      <c r="B100">
        <v>2.3473577560274225E-2</v>
      </c>
      <c r="C100" s="3">
        <v>1.6903039419363636E-2</v>
      </c>
      <c r="D100" s="3">
        <v>2.1757357439346339E-4</v>
      </c>
      <c r="E100" s="3">
        <v>3.4607343160799118E-3</v>
      </c>
      <c r="F100" s="3">
        <v>3.6559169142187264E-2</v>
      </c>
      <c r="G100" s="3">
        <v>4.2705319670999199E-2</v>
      </c>
    </row>
    <row r="101" spans="1:7" x14ac:dyDescent="0.2">
      <c r="A101" s="2">
        <v>35185</v>
      </c>
      <c r="B101">
        <v>3.3824286132649477E-2</v>
      </c>
      <c r="C101" s="3">
        <v>2.5062531089497561E-2</v>
      </c>
      <c r="D101" s="3">
        <v>2.8687131990985895E-2</v>
      </c>
      <c r="E101" s="3">
        <v>-2.6243075452453656E-2</v>
      </c>
      <c r="F101" s="3">
        <v>2.8726247623605306E-2</v>
      </c>
      <c r="G101" s="3">
        <v>6.6904187548277178E-2</v>
      </c>
    </row>
    <row r="102" spans="1:7" x14ac:dyDescent="0.2">
      <c r="A102" s="2">
        <v>35216</v>
      </c>
      <c r="B102">
        <v>-8.4153711725261631E-3</v>
      </c>
      <c r="C102" s="3">
        <v>1.6924649135793269E-2</v>
      </c>
      <c r="D102" s="3">
        <v>1.0642583856172864E-3</v>
      </c>
      <c r="E102" s="3">
        <v>5.2812603128636728E-3</v>
      </c>
      <c r="F102" s="3">
        <v>-2.020578355563294E-2</v>
      </c>
      <c r="G102" s="3">
        <v>-6.1080180874234807E-2</v>
      </c>
    </row>
    <row r="103" spans="1:7" x14ac:dyDescent="0.2">
      <c r="A103" s="2">
        <v>35244</v>
      </c>
      <c r="B103">
        <v>-1.1767707637519369E-2</v>
      </c>
      <c r="C103" s="3">
        <v>-1.1066244657738328E-2</v>
      </c>
      <c r="D103" s="3">
        <v>-2.4009036069218989E-2</v>
      </c>
      <c r="E103" s="3">
        <v>3.750016808663366E-3</v>
      </c>
      <c r="F103" s="3">
        <v>1.2465547402648221E-3</v>
      </c>
      <c r="G103" s="3">
        <v>-1.0484221021290313E-2</v>
      </c>
    </row>
    <row r="104" spans="1:7" x14ac:dyDescent="0.2">
      <c r="A104" s="2">
        <v>35277</v>
      </c>
      <c r="B104">
        <v>-4.6652794141542067E-2</v>
      </c>
      <c r="C104" s="3">
        <v>-5.5823703541230445E-2</v>
      </c>
      <c r="D104" s="3">
        <v>-5.0104717301312105E-3</v>
      </c>
      <c r="E104" s="3">
        <v>-7.4370533879462774E-3</v>
      </c>
      <c r="F104" s="3">
        <v>-3.8728315240294145E-2</v>
      </c>
      <c r="G104" s="3">
        <v>-5.5405085275954606E-2</v>
      </c>
    </row>
    <row r="105" spans="1:7" x14ac:dyDescent="0.2">
      <c r="A105" s="2">
        <v>35307</v>
      </c>
      <c r="B105">
        <v>1.8495300394158115E-2</v>
      </c>
      <c r="C105" s="3">
        <v>2.9084827671279553E-2</v>
      </c>
      <c r="D105" s="3">
        <v>5.6340595239984935E-2</v>
      </c>
      <c r="E105" s="3">
        <v>3.0275421515561972E-2</v>
      </c>
      <c r="F105" s="3">
        <v>-1.3604111524297635E-2</v>
      </c>
      <c r="G105" s="3">
        <v>-3.7593638106705907E-2</v>
      </c>
    </row>
    <row r="106" spans="1:7" x14ac:dyDescent="0.2">
      <c r="A106" s="2">
        <v>35338</v>
      </c>
      <c r="B106">
        <v>4.002312446405154E-2</v>
      </c>
      <c r="C106" s="3">
        <v>5.5996647735396546E-2</v>
      </c>
      <c r="D106" s="3">
        <v>2.3256960782422727E-2</v>
      </c>
      <c r="E106" s="3">
        <v>8.5078174430958959E-3</v>
      </c>
      <c r="F106" s="3">
        <v>5.5500777132636563E-2</v>
      </c>
      <c r="G106" s="3">
        <v>3.6696234820647176E-2</v>
      </c>
    </row>
    <row r="107" spans="1:7" x14ac:dyDescent="0.2">
      <c r="A107" s="2">
        <v>35369</v>
      </c>
      <c r="B107">
        <v>-7.4592132328644466E-3</v>
      </c>
      <c r="C107" s="3">
        <v>1.0770159241959005E-2</v>
      </c>
      <c r="D107" s="3">
        <v>3.070995966261619E-2</v>
      </c>
      <c r="E107" s="3">
        <v>-4.9203217070295209E-3</v>
      </c>
      <c r="F107" s="3">
        <v>6.7529424956751941E-3</v>
      </c>
      <c r="G107" s="3">
        <v>-8.2864927924944751E-2</v>
      </c>
    </row>
    <row r="108" spans="1:7" x14ac:dyDescent="0.2">
      <c r="A108" s="2">
        <v>35398</v>
      </c>
      <c r="B108">
        <v>7.4993625064503536E-2</v>
      </c>
      <c r="C108" s="3">
        <v>9.3298421255492828E-2</v>
      </c>
      <c r="D108" s="3">
        <v>7.4652596559160678E-2</v>
      </c>
      <c r="E108" s="3">
        <v>5.9723360768927113E-2</v>
      </c>
      <c r="F108" s="3">
        <v>7.2379070221259154E-2</v>
      </c>
      <c r="G108" s="3">
        <v>4.0297954975655512E-2</v>
      </c>
    </row>
    <row r="109" spans="1:7" x14ac:dyDescent="0.2">
      <c r="A109" s="2">
        <v>35430</v>
      </c>
      <c r="B109">
        <v>9.2311318496478157E-3</v>
      </c>
      <c r="C109" s="3">
        <v>6.2176229906936945E-3</v>
      </c>
      <c r="D109" s="3">
        <v>5.8270492640244378E-2</v>
      </c>
      <c r="E109" s="3">
        <v>2.8909468403848022E-2</v>
      </c>
      <c r="F109" s="3">
        <v>3.5460974233318836E-2</v>
      </c>
      <c r="G109" s="3">
        <v>-4.5310695793108528E-2</v>
      </c>
    </row>
    <row r="110" spans="1:7" x14ac:dyDescent="0.2">
      <c r="A110" s="2">
        <v>35461</v>
      </c>
      <c r="B110">
        <v>5.3219268513741168E-2</v>
      </c>
      <c r="C110" s="3">
        <v>0.107489254539902</v>
      </c>
      <c r="D110" s="3">
        <v>1.027628097466649E-2</v>
      </c>
      <c r="E110" s="3">
        <v>3.7332945003855034E-2</v>
      </c>
      <c r="F110" s="3">
        <v>6.3797447885036315E-2</v>
      </c>
      <c r="G110" s="3">
        <v>-7.3142086183845337E-2</v>
      </c>
    </row>
    <row r="111" spans="1:7" x14ac:dyDescent="0.2">
      <c r="A111" s="2">
        <v>35489</v>
      </c>
      <c r="B111">
        <v>2.1573725973299155E-2</v>
      </c>
      <c r="C111" s="3">
        <v>1.7160240388912479E-2</v>
      </c>
      <c r="D111" s="3">
        <v>3.9827242748379191E-2</v>
      </c>
      <c r="E111" s="3">
        <v>5.1095728725445697E-2</v>
      </c>
      <c r="F111" s="3">
        <v>1.5559910079358459E-2</v>
      </c>
      <c r="G111" s="3">
        <v>3.4087942129687118E-2</v>
      </c>
    </row>
    <row r="112" spans="1:7" x14ac:dyDescent="0.2">
      <c r="A112" s="2">
        <v>35520</v>
      </c>
      <c r="B112">
        <v>-1.6009839800164689E-2</v>
      </c>
      <c r="C112" s="3">
        <v>-4.1852279466613809E-2</v>
      </c>
      <c r="D112" s="3">
        <v>1.3349910484696137E-2</v>
      </c>
      <c r="E112" s="3">
        <v>7.534747140190072E-2</v>
      </c>
      <c r="F112" s="3">
        <v>3.4746629560396328E-2</v>
      </c>
      <c r="G112" s="3">
        <v>-2.862692410105068E-2</v>
      </c>
    </row>
    <row r="113" spans="1:7" x14ac:dyDescent="0.2">
      <c r="A113" s="2">
        <v>35550</v>
      </c>
      <c r="B113">
        <v>2.7687366817133966E-2</v>
      </c>
      <c r="C113" s="3">
        <v>5.9321958296422943E-2</v>
      </c>
      <c r="D113" s="3">
        <v>1.2651331056786431E-2</v>
      </c>
      <c r="E113" s="3">
        <v>-4.0726392816246078E-2</v>
      </c>
      <c r="F113" s="3">
        <v>-4.5724699983852847E-2</v>
      </c>
      <c r="G113" s="3">
        <v>3.2043151564021537E-2</v>
      </c>
    </row>
    <row r="114" spans="1:7" x14ac:dyDescent="0.2">
      <c r="A114" s="2">
        <v>35580</v>
      </c>
      <c r="B114">
        <v>6.9712618495877093E-2</v>
      </c>
      <c r="C114" s="3">
        <v>6.4924313686939461E-2</v>
      </c>
      <c r="D114" s="3">
        <v>5.3411841193869769E-2</v>
      </c>
      <c r="E114" s="3">
        <v>5.1677199932909174E-2</v>
      </c>
      <c r="F114" s="3">
        <v>1.7416714132652499E-3</v>
      </c>
      <c r="G114" s="3">
        <v>0.11540947435816695</v>
      </c>
    </row>
    <row r="115" spans="1:7" x14ac:dyDescent="0.2">
      <c r="A115" s="2">
        <v>35611</v>
      </c>
      <c r="B115">
        <v>7.4848855490422972E-2</v>
      </c>
      <c r="C115" s="3">
        <v>7.0756113548823676E-2</v>
      </c>
      <c r="D115" s="3">
        <v>3.8764282556371918E-2</v>
      </c>
      <c r="E115" s="3">
        <v>6.9654167887147136E-2</v>
      </c>
      <c r="F115" s="3">
        <v>0.10629529963364302</v>
      </c>
      <c r="G115" s="3">
        <v>9.9033335235517106E-2</v>
      </c>
    </row>
    <row r="116" spans="1:7" x14ac:dyDescent="0.2">
      <c r="A116" s="2">
        <v>35642</v>
      </c>
      <c r="B116">
        <v>7.1938596156068985E-2</v>
      </c>
      <c r="C116" s="3">
        <v>0.10305197497503568</v>
      </c>
      <c r="D116" s="3">
        <v>7.1493940734282058E-2</v>
      </c>
      <c r="E116" s="3">
        <v>0.1205803001683492</v>
      </c>
      <c r="F116" s="3">
        <v>4.432217132939624E-2</v>
      </c>
      <c r="G116" s="3">
        <v>-3.2967063536796302E-3</v>
      </c>
    </row>
    <row r="117" spans="1:7" x14ac:dyDescent="0.2">
      <c r="A117" s="2">
        <v>35671</v>
      </c>
      <c r="B117">
        <v>-9.7114269277535969E-2</v>
      </c>
      <c r="C117" s="3">
        <v>-8.9013392660526949E-2</v>
      </c>
      <c r="D117" s="3">
        <v>-4.5482800631634464E-2</v>
      </c>
      <c r="E117" s="3">
        <v>-0.13173603274392254</v>
      </c>
      <c r="F117" s="3">
        <v>-0.10650965311124422</v>
      </c>
      <c r="G117" s="3">
        <v>-0.11781796894146696</v>
      </c>
    </row>
    <row r="118" spans="1:7" x14ac:dyDescent="0.2">
      <c r="A118" s="2">
        <v>35703</v>
      </c>
      <c r="B118">
        <v>3.3353152244716217E-2</v>
      </c>
      <c r="C118" s="3">
        <v>3.13887778715531E-2</v>
      </c>
      <c r="D118" s="3">
        <v>6.2634386721058644E-2</v>
      </c>
      <c r="E118" s="3">
        <v>5.4939996149398727E-2</v>
      </c>
      <c r="F118" s="3">
        <v>8.1331167638426405E-2</v>
      </c>
      <c r="G118" s="3">
        <v>-3.4077477506719939E-2</v>
      </c>
    </row>
    <row r="119" spans="1:7" x14ac:dyDescent="0.2">
      <c r="A119" s="2">
        <v>35734</v>
      </c>
      <c r="B119">
        <v>-7.618817054210282E-2</v>
      </c>
      <c r="C119" s="3">
        <v>-4.9660203643480297E-2</v>
      </c>
      <c r="D119" s="3">
        <v>-6.1895793858672186E-2</v>
      </c>
      <c r="E119" s="3">
        <v>-9.4242375766406622E-2</v>
      </c>
      <c r="F119" s="3">
        <v>-9.1102724598900814E-2</v>
      </c>
      <c r="G119" s="3">
        <v>-0.11915929070329044</v>
      </c>
    </row>
    <row r="120" spans="1:7" x14ac:dyDescent="0.2">
      <c r="A120" s="2">
        <v>35762</v>
      </c>
      <c r="B120">
        <v>4.2868936064491402E-2</v>
      </c>
      <c r="C120" s="3">
        <v>7.2735488179410945E-2</v>
      </c>
      <c r="D120" s="3">
        <v>2.9106282525657473E-2</v>
      </c>
      <c r="E120" s="3">
        <v>5.9737120434774887E-2</v>
      </c>
      <c r="F120" s="3">
        <v>4.6571421302995401E-2</v>
      </c>
      <c r="G120" s="3">
        <v>-3.7308834072833801E-2</v>
      </c>
    </row>
    <row r="121" spans="1:7" x14ac:dyDescent="0.2">
      <c r="A121" s="2">
        <v>35795</v>
      </c>
      <c r="B121">
        <v>3.3572230190584071E-2</v>
      </c>
      <c r="C121" s="3">
        <v>3.6245001479199991E-2</v>
      </c>
      <c r="D121" s="3">
        <v>5.748850105454497E-2</v>
      </c>
      <c r="E121" s="3">
        <v>6.2482299590354652E-2</v>
      </c>
      <c r="F121" s="3">
        <v>5.6421438043514731E-2</v>
      </c>
      <c r="G121" s="3">
        <v>-3.6792472755694118E-2</v>
      </c>
    </row>
    <row r="122" spans="1:7" x14ac:dyDescent="0.2">
      <c r="A122" s="2">
        <v>35825</v>
      </c>
      <c r="B122">
        <v>2.4032864263538276E-2</v>
      </c>
      <c r="C122" s="3">
        <v>9.4282690423724089E-3</v>
      </c>
      <c r="D122" s="3">
        <v>4.3052845690673698E-2</v>
      </c>
      <c r="E122" s="3">
        <v>2.6607973462671863E-2</v>
      </c>
      <c r="F122" s="3">
        <v>3.1893128157572719E-2</v>
      </c>
      <c r="G122" s="3">
        <v>8.2679045393334677E-2</v>
      </c>
    </row>
    <row r="123" spans="1:7" x14ac:dyDescent="0.2">
      <c r="A123" s="2">
        <v>35853</v>
      </c>
      <c r="B123">
        <v>6.7935208753742996E-2</v>
      </c>
      <c r="C123" s="3">
        <v>7.0387721794837613E-2</v>
      </c>
      <c r="D123" s="3">
        <v>6.8637423518690691E-2</v>
      </c>
      <c r="E123" s="3">
        <v>6.45890400427825E-2</v>
      </c>
      <c r="F123" s="3">
        <v>8.3472608877109125E-2</v>
      </c>
      <c r="G123" s="3">
        <v>8.3017961817371602E-3</v>
      </c>
    </row>
    <row r="124" spans="1:7" x14ac:dyDescent="0.2">
      <c r="A124" s="2">
        <v>35885</v>
      </c>
      <c r="B124">
        <v>3.339843720633235E-2</v>
      </c>
      <c r="C124" s="3">
        <v>4.2705194697198252E-2</v>
      </c>
      <c r="D124" s="3">
        <v>4.2648170398638809E-2</v>
      </c>
      <c r="E124" s="3">
        <v>5.7495101016062394E-2</v>
      </c>
      <c r="F124" s="3">
        <v>9.7963528334997815E-2</v>
      </c>
      <c r="G124" s="3">
        <v>-7.7840096957923988E-2</v>
      </c>
    </row>
    <row r="125" spans="1:7" x14ac:dyDescent="0.2">
      <c r="A125" s="2">
        <v>35915</v>
      </c>
      <c r="B125">
        <v>-6.7839279238848509E-3</v>
      </c>
      <c r="C125" s="3">
        <v>-4.737363371991145E-3</v>
      </c>
      <c r="D125" s="3">
        <v>-1.5210163094243783E-2</v>
      </c>
      <c r="E125" s="3">
        <v>2.0159854052671199E-2</v>
      </c>
      <c r="F125" s="3">
        <v>1.5769593836403504E-2</v>
      </c>
      <c r="G125" s="3">
        <v>-2.0002249690172821E-2</v>
      </c>
    </row>
    <row r="126" spans="1:7" x14ac:dyDescent="0.2">
      <c r="A126" s="2">
        <v>35944</v>
      </c>
      <c r="B126">
        <v>-6.5508207852327709E-3</v>
      </c>
      <c r="C126" s="3">
        <v>-1.4098928314645619E-2</v>
      </c>
      <c r="D126" s="3">
        <v>-3.2451203514538701E-2</v>
      </c>
      <c r="E126" s="3">
        <v>8.3702200079668512E-2</v>
      </c>
      <c r="F126" s="3">
        <v>5.7022069928109743E-2</v>
      </c>
      <c r="G126" s="3">
        <v>-4.9889855657374402E-2</v>
      </c>
    </row>
    <row r="127" spans="1:7" x14ac:dyDescent="0.2">
      <c r="A127" s="2">
        <v>35976</v>
      </c>
      <c r="B127">
        <v>2.4668612024256589E-2</v>
      </c>
      <c r="C127" s="3">
        <v>4.3411327143717544E-2</v>
      </c>
      <c r="D127" s="3">
        <v>1.5609772496804291E-2</v>
      </c>
      <c r="E127" s="3">
        <v>4.2701917288941925E-2</v>
      </c>
      <c r="F127" s="3">
        <v>2.4637910577016676E-2</v>
      </c>
      <c r="G127" s="3">
        <v>1.5716235004044971E-2</v>
      </c>
    </row>
    <row r="128" spans="1:7" x14ac:dyDescent="0.2">
      <c r="A128" s="2">
        <v>36007</v>
      </c>
      <c r="B128">
        <v>-6.8531881325752334E-3</v>
      </c>
      <c r="C128" s="3">
        <v>-1.5092402899834448E-2</v>
      </c>
      <c r="D128" s="3">
        <v>-2.6350626184149455E-2</v>
      </c>
      <c r="E128" s="3">
        <v>1.8778194052126891E-2</v>
      </c>
      <c r="F128" s="3">
        <v>5.1854044816243882E-3</v>
      </c>
      <c r="G128" s="3">
        <v>-1.7919378541603664E-2</v>
      </c>
    </row>
    <row r="129" spans="1:7" x14ac:dyDescent="0.2">
      <c r="A129" s="2">
        <v>36038</v>
      </c>
      <c r="B129">
        <v>-0.19224637572024181</v>
      </c>
      <c r="C129" s="3">
        <v>-0.19889540992179722</v>
      </c>
      <c r="D129" s="3">
        <v>-0.12525148671810235</v>
      </c>
      <c r="E129" s="3">
        <v>-0.22807666903632257</v>
      </c>
      <c r="F129" s="3">
        <v>-0.1704327922122631</v>
      </c>
      <c r="G129" s="3">
        <v>-0.16951646079967045</v>
      </c>
    </row>
    <row r="130" spans="1:7" x14ac:dyDescent="0.2">
      <c r="A130" s="2">
        <v>36068</v>
      </c>
      <c r="B130">
        <v>-2.1445845083893435E-2</v>
      </c>
      <c r="C130" s="3">
        <v>2.4845818859202437E-2</v>
      </c>
      <c r="D130" s="3">
        <v>-6.0566102882284006E-2</v>
      </c>
      <c r="E130" s="3">
        <v>-5.1694250560029464E-2</v>
      </c>
      <c r="F130" s="3">
        <v>-0.10650196244691362</v>
      </c>
      <c r="G130" s="3">
        <v>-6.6031408610158993E-2</v>
      </c>
    </row>
    <row r="131" spans="1:7" x14ac:dyDescent="0.2">
      <c r="A131" s="2">
        <v>36098</v>
      </c>
      <c r="B131">
        <v>0.11384022098961927</v>
      </c>
      <c r="C131" s="3">
        <v>0.10197147816647735</v>
      </c>
      <c r="D131" s="3">
        <v>8.5521064684545164E-2</v>
      </c>
      <c r="E131" s="3">
        <v>6.8569575757289697E-2</v>
      </c>
      <c r="F131" s="3">
        <v>0.12582450628804279</v>
      </c>
      <c r="G131" s="3">
        <v>0.18285466874537815</v>
      </c>
    </row>
    <row r="132" spans="1:7" x14ac:dyDescent="0.2">
      <c r="A132" s="2">
        <v>36129</v>
      </c>
      <c r="B132">
        <v>5.0209625036735137E-2</v>
      </c>
      <c r="C132" s="3">
        <v>5.8285173555398764E-2</v>
      </c>
      <c r="D132" s="3">
        <v>3.5242626070069227E-2</v>
      </c>
      <c r="E132" s="3">
        <v>4.3208640154872795E-2</v>
      </c>
      <c r="F132" s="3">
        <v>5.3611546891952314E-2</v>
      </c>
      <c r="G132" s="3">
        <v>3.7679592446185281E-2</v>
      </c>
    </row>
    <row r="133" spans="1:7" x14ac:dyDescent="0.2">
      <c r="A133" s="2">
        <v>36160</v>
      </c>
      <c r="B133">
        <v>6.0709077421328521E-2</v>
      </c>
      <c r="C133" s="3">
        <v>7.0485206213373855E-2</v>
      </c>
      <c r="D133" s="3">
        <v>4.3197814964384712E-2</v>
      </c>
      <c r="E133" s="3">
        <v>3.7793978609369297E-2</v>
      </c>
      <c r="F133" s="3">
        <v>5.3743057095071371E-2</v>
      </c>
      <c r="G133" s="3">
        <v>5.1442234158045747E-2</v>
      </c>
    </row>
    <row r="134" spans="1:7" x14ac:dyDescent="0.2">
      <c r="A134" s="2">
        <v>36189</v>
      </c>
      <c r="B134">
        <v>5.4609298078013672E-2</v>
      </c>
      <c r="C134" s="3">
        <v>7.5320604709390837E-2</v>
      </c>
      <c r="D134" s="3">
        <v>2.1596881980438187E-2</v>
      </c>
      <c r="E134" s="3">
        <v>4.9673295210907645E-2</v>
      </c>
      <c r="F134" s="3">
        <v>6.183120110323765E-2</v>
      </c>
      <c r="G134" s="3">
        <v>4.063473827035069E-2</v>
      </c>
    </row>
    <row r="135" spans="1:7" x14ac:dyDescent="0.2">
      <c r="A135" s="2">
        <v>36217</v>
      </c>
      <c r="B135">
        <v>6.1786269387722722E-4</v>
      </c>
      <c r="C135" s="3">
        <v>-6.9524061083249295E-4</v>
      </c>
      <c r="D135" s="3">
        <v>4.8666040800826905E-2</v>
      </c>
      <c r="E135" s="3">
        <v>-5.8438907716669687E-2</v>
      </c>
      <c r="F135" s="3">
        <v>-3.9945435888858537E-2</v>
      </c>
      <c r="G135" s="3">
        <v>5.8808066982965375E-3</v>
      </c>
    </row>
    <row r="136" spans="1:7" x14ac:dyDescent="0.2">
      <c r="A136" s="2">
        <v>36250</v>
      </c>
      <c r="B136">
        <v>5.683005649065611E-2</v>
      </c>
      <c r="C136" s="3">
        <v>5.6841322978299011E-2</v>
      </c>
      <c r="D136" s="3">
        <v>4.5876741395672473E-2</v>
      </c>
      <c r="E136" s="3">
        <v>-1.1394869378854202E-2</v>
      </c>
      <c r="F136" s="3">
        <v>3.4601231619857453E-2</v>
      </c>
      <c r="G136" s="3">
        <v>0.14647089928028068</v>
      </c>
    </row>
    <row r="137" spans="1:7" x14ac:dyDescent="0.2">
      <c r="A137" s="2">
        <v>36280</v>
      </c>
      <c r="B137">
        <v>4.4271946919869271E-2</v>
      </c>
      <c r="C137" s="3">
        <v>4.1190271340408986E-2</v>
      </c>
      <c r="D137" s="3">
        <v>4.2746100212142604E-2</v>
      </c>
      <c r="E137" s="3">
        <v>6.8594034501273757E-2</v>
      </c>
      <c r="F137" s="3">
        <v>3.1662782309099316E-2</v>
      </c>
      <c r="G137" s="3">
        <v>4.702356509108932E-2</v>
      </c>
    </row>
    <row r="138" spans="1:7" x14ac:dyDescent="0.2">
      <c r="A138" s="2">
        <v>36311</v>
      </c>
      <c r="B138">
        <v>-1.4234165379075552E-2</v>
      </c>
      <c r="C138" s="3">
        <v>-4.9975171172037588E-4</v>
      </c>
      <c r="D138" s="3">
        <v>-3.4872749374746582E-2</v>
      </c>
      <c r="E138" s="3">
        <v>-3.9658005337904347E-2</v>
      </c>
      <c r="F138" s="3">
        <v>-3.3235756300291981E-4</v>
      </c>
      <c r="G138" s="3">
        <v>-3.4446583432781695E-2</v>
      </c>
    </row>
    <row r="139" spans="1:7" x14ac:dyDescent="0.2">
      <c r="A139" s="2">
        <v>36341</v>
      </c>
      <c r="B139">
        <v>4.5214486178162455E-2</v>
      </c>
      <c r="C139" s="3">
        <v>5.207969782450958E-2</v>
      </c>
      <c r="D139" s="3">
        <v>1.262609082322441E-3</v>
      </c>
      <c r="E139" s="3">
        <v>5.3797269263790186E-2</v>
      </c>
      <c r="F139" s="3">
        <v>2.9483205920012329E-2</v>
      </c>
      <c r="G139" s="3">
        <v>9.0633980575175632E-2</v>
      </c>
    </row>
    <row r="140" spans="1:7" x14ac:dyDescent="0.2">
      <c r="A140" s="2">
        <v>36371</v>
      </c>
      <c r="B140">
        <v>-2.6486990132615316E-2</v>
      </c>
      <c r="C140" s="3">
        <v>-5.6390962211744063E-2</v>
      </c>
      <c r="D140" s="3">
        <v>-9.45054204887418E-3</v>
      </c>
      <c r="E140" s="3">
        <v>-3.9553722118191727E-2</v>
      </c>
      <c r="F140" s="3">
        <v>-1.7936464982863963E-2</v>
      </c>
      <c r="G140" s="3">
        <v>7.2297382144738895E-2</v>
      </c>
    </row>
    <row r="141" spans="1:7" x14ac:dyDescent="0.2">
      <c r="A141" s="2">
        <v>36403</v>
      </c>
      <c r="B141">
        <v>7.3672016437803011E-3</v>
      </c>
      <c r="C141" s="3">
        <v>2.8320043340313138E-3</v>
      </c>
      <c r="D141" s="3">
        <v>4.2644716839097081E-3</v>
      </c>
      <c r="E141" s="3">
        <v>2.6438823990998971E-2</v>
      </c>
      <c r="F141" s="3">
        <v>4.5102900978815814E-2</v>
      </c>
      <c r="G141" s="3">
        <v>2.7429860834057409E-3</v>
      </c>
    </row>
    <row r="142" spans="1:7" x14ac:dyDescent="0.2">
      <c r="A142" s="2">
        <v>36433</v>
      </c>
      <c r="B142">
        <v>-3.05347440466779E-2</v>
      </c>
      <c r="C142" s="3">
        <v>-5.0910926535698398E-2</v>
      </c>
      <c r="D142" s="3">
        <v>-3.8201610320717783E-2</v>
      </c>
      <c r="E142" s="3">
        <v>-3.4267767167722625E-2</v>
      </c>
      <c r="F142" s="3">
        <v>-1.0286830895335792E-2</v>
      </c>
      <c r="G142" s="3">
        <v>3.8743467808076214E-2</v>
      </c>
    </row>
    <row r="143" spans="1:7" x14ac:dyDescent="0.2">
      <c r="A143" s="2">
        <v>36462</v>
      </c>
      <c r="B143">
        <v>8.5591049157345042E-2</v>
      </c>
      <c r="C143" s="3">
        <v>9.8307159287306087E-2</v>
      </c>
      <c r="D143" s="3">
        <v>6.2617184478807833E-2</v>
      </c>
      <c r="E143" s="3">
        <v>8.7714993905161812E-2</v>
      </c>
      <c r="F143" s="3">
        <v>8.8827450196516722E-2</v>
      </c>
      <c r="G143" s="3">
        <v>7.7487168530380776E-2</v>
      </c>
    </row>
    <row r="144" spans="1:7" x14ac:dyDescent="0.2">
      <c r="A144" s="2">
        <v>36494</v>
      </c>
      <c r="B144">
        <v>4.8093079342259121E-2</v>
      </c>
      <c r="C144" s="3">
        <v>4.1568912873431174E-2</v>
      </c>
      <c r="D144" s="3">
        <v>3.1530894450937492E-2</v>
      </c>
      <c r="E144" s="3">
        <v>4.7840398972292669E-2</v>
      </c>
      <c r="F144" s="3">
        <v>5.3092260284908488E-2</v>
      </c>
      <c r="G144" s="3">
        <v>6.2893163727505585E-2</v>
      </c>
    </row>
    <row r="145" spans="1:7" x14ac:dyDescent="0.2">
      <c r="A145" s="2">
        <v>36525</v>
      </c>
      <c r="B145">
        <v>7.484775869732592E-2</v>
      </c>
      <c r="C145" s="3">
        <v>6.4423216731778241E-2</v>
      </c>
      <c r="D145" s="3">
        <v>5.1541492622424127E-2</v>
      </c>
      <c r="E145" s="3">
        <v>0.15529220257998516</v>
      </c>
      <c r="F145" s="3">
        <v>0.10537268422214283</v>
      </c>
      <c r="G145" s="3">
        <v>5.7736996152014372E-2</v>
      </c>
    </row>
    <row r="146" spans="1:7" x14ac:dyDescent="0.2">
      <c r="A146" s="2">
        <v>36556</v>
      </c>
      <c r="B146">
        <v>-3.015934660378829E-2</v>
      </c>
      <c r="C146" s="3">
        <v>-2.6258331201215786E-2</v>
      </c>
      <c r="D146" s="3">
        <v>-6.8388864178484471E-2</v>
      </c>
      <c r="E146" s="3">
        <v>-6.3683571889631922E-3</v>
      </c>
      <c r="F146" s="3">
        <v>-3.9341062791849991E-2</v>
      </c>
      <c r="G146" s="3">
        <v>-1.4919003420705465E-2</v>
      </c>
    </row>
    <row r="147" spans="1:7" x14ac:dyDescent="0.2">
      <c r="A147" s="2">
        <v>36585</v>
      </c>
      <c r="B147">
        <v>2.1353071307459656E-2</v>
      </c>
      <c r="C147" s="3">
        <v>-5.436130842549485E-3</v>
      </c>
      <c r="D147" s="3">
        <v>-1.4635518956059312E-2</v>
      </c>
      <c r="E147" s="3">
        <v>0.1182270571260719</v>
      </c>
      <c r="F147" s="3">
        <v>0.10488259685076926</v>
      </c>
      <c r="G147" s="3">
        <v>-7.0518925425040405E-3</v>
      </c>
    </row>
    <row r="148" spans="1:7" x14ac:dyDescent="0.2">
      <c r="A148" s="2">
        <v>36616</v>
      </c>
      <c r="B148">
        <v>8.625115980975262E-2</v>
      </c>
      <c r="C148" s="3">
        <v>0.11457064765545746</v>
      </c>
      <c r="D148" s="3">
        <v>8.9400013945218473E-2</v>
      </c>
      <c r="E148" s="3">
        <v>3.3574501320637325E-3</v>
      </c>
      <c r="F148" s="3">
        <v>3.0607069524966047E-2</v>
      </c>
      <c r="G148" s="3">
        <v>9.9169337274903777E-2</v>
      </c>
    </row>
    <row r="149" spans="1:7" x14ac:dyDescent="0.2">
      <c r="A149" s="2">
        <v>36644</v>
      </c>
      <c r="B149">
        <v>-1.9889625183602835E-3</v>
      </c>
      <c r="C149" s="3">
        <v>8.3368849772464254E-3</v>
      </c>
      <c r="D149" s="3">
        <v>-2.4842106439156315E-3</v>
      </c>
      <c r="E149" s="3">
        <v>-4.9189118729235461E-2</v>
      </c>
      <c r="F149" s="3">
        <v>8.08362254973196E-3</v>
      </c>
      <c r="G149" s="3">
        <v>-3.6428193563576163E-2</v>
      </c>
    </row>
    <row r="150" spans="1:7" x14ac:dyDescent="0.2">
      <c r="A150" s="2">
        <v>36677</v>
      </c>
      <c r="B150">
        <v>-7.4663376327787911E-2</v>
      </c>
      <c r="C150" s="3">
        <v>-7.5814239245886261E-2</v>
      </c>
      <c r="D150" s="3">
        <v>-8.4392653571789739E-2</v>
      </c>
      <c r="E150" s="3">
        <v>-8.0498526238825446E-2</v>
      </c>
      <c r="F150" s="3">
        <v>-2.2118532831163037E-2</v>
      </c>
      <c r="G150" s="3">
        <v>-0.10072588579741742</v>
      </c>
    </row>
    <row r="151" spans="1:7" x14ac:dyDescent="0.2">
      <c r="A151" s="2">
        <v>36707</v>
      </c>
      <c r="B151">
        <v>4.4741827966687908E-2</v>
      </c>
      <c r="C151" s="3">
        <v>3.537790402887786E-2</v>
      </c>
      <c r="D151" s="3">
        <v>1.9890520839388689E-2</v>
      </c>
      <c r="E151" s="3">
        <v>8.7118824170329037E-3</v>
      </c>
      <c r="F151" s="3">
        <v>4.912962144762037E-2</v>
      </c>
      <c r="G151" s="3">
        <v>7.8674517037166977E-2</v>
      </c>
    </row>
    <row r="152" spans="1:7" x14ac:dyDescent="0.2">
      <c r="A152" s="2">
        <v>36738</v>
      </c>
      <c r="B152">
        <v>7.4914826458298035E-3</v>
      </c>
      <c r="C152" s="3">
        <v>1.8002841166691305E-2</v>
      </c>
      <c r="D152" s="3">
        <v>4.2011034459501835E-2</v>
      </c>
      <c r="E152" s="3">
        <v>3.2306328446694177E-2</v>
      </c>
      <c r="F152" s="3">
        <v>2.0035654841568159E-2</v>
      </c>
      <c r="G152" s="3">
        <v>-8.5790387060621268E-2</v>
      </c>
    </row>
    <row r="153" spans="1:7" x14ac:dyDescent="0.2">
      <c r="A153" s="2">
        <v>36769</v>
      </c>
      <c r="B153">
        <v>7.0538919841756489E-2</v>
      </c>
      <c r="C153" s="3">
        <v>8.9232361326130091E-2</v>
      </c>
      <c r="D153" s="3">
        <v>4.8280488971016909E-2</v>
      </c>
      <c r="E153" s="3">
        <v>-8.5543967777738841E-3</v>
      </c>
      <c r="F153" s="3">
        <v>1.4168836656127564E-2</v>
      </c>
      <c r="G153" s="3">
        <v>0.10176364486629931</v>
      </c>
    </row>
    <row r="154" spans="1:7" x14ac:dyDescent="0.2">
      <c r="A154" s="2">
        <v>36798</v>
      </c>
      <c r="B154">
        <v>-3.5857235284902929E-2</v>
      </c>
      <c r="C154" s="3">
        <v>-3.7106537879479463E-2</v>
      </c>
      <c r="D154" s="3">
        <v>-9.8540271410583486E-3</v>
      </c>
      <c r="E154" s="3">
        <v>-3.4917399673370028E-2</v>
      </c>
      <c r="F154" s="3">
        <v>-4.6707656661209296E-2</v>
      </c>
      <c r="G154" s="3">
        <v>-3.1669593272627798E-2</v>
      </c>
    </row>
    <row r="155" spans="1:7" x14ac:dyDescent="0.2">
      <c r="A155" s="2">
        <v>36830</v>
      </c>
      <c r="B155">
        <v>-2.1018525560495552E-2</v>
      </c>
      <c r="C155" s="3">
        <v>-1.1257347541358114E-2</v>
      </c>
      <c r="D155" s="3">
        <v>2.1047324786072699E-3</v>
      </c>
      <c r="E155" s="3">
        <v>3.121648937456015E-3</v>
      </c>
      <c r="F155" s="3">
        <v>-2.7963975650101839E-2</v>
      </c>
      <c r="G155" s="3">
        <v>-6.3385815624224767E-2</v>
      </c>
    </row>
    <row r="156" spans="1:7" x14ac:dyDescent="0.2">
      <c r="A156" s="2">
        <v>36860</v>
      </c>
      <c r="B156">
        <v>-0.11283928654001406</v>
      </c>
      <c r="C156" s="3">
        <v>-0.13246574366915903</v>
      </c>
      <c r="D156" s="3">
        <v>-0.11162452070971883</v>
      </c>
      <c r="E156" s="3">
        <v>-0.12655836209014873</v>
      </c>
      <c r="F156" s="3">
        <v>-9.7407126500712538E-2</v>
      </c>
      <c r="G156" s="3">
        <v>-9.210867193994611E-2</v>
      </c>
    </row>
    <row r="157" spans="1:7" x14ac:dyDescent="0.2">
      <c r="A157" s="2">
        <v>36889</v>
      </c>
      <c r="B157">
        <v>-2.7804405101333196E-2</v>
      </c>
      <c r="C157" s="3">
        <v>-4.5408266734947994E-2</v>
      </c>
      <c r="D157" s="3">
        <v>2.1513904461582686E-2</v>
      </c>
      <c r="E157" s="3">
        <v>3.7673091350892494E-2</v>
      </c>
      <c r="F157" s="3">
        <v>3.2296648345017269E-2</v>
      </c>
      <c r="G157" s="3">
        <v>-0.10608203782875038</v>
      </c>
    </row>
    <row r="158" spans="1:7" x14ac:dyDescent="0.2">
      <c r="A158" s="2">
        <v>36922</v>
      </c>
      <c r="B158">
        <v>3.7040321330427145E-2</v>
      </c>
      <c r="C158" s="3">
        <v>5.3422140429964488E-2</v>
      </c>
      <c r="D158" s="3">
        <v>1.4787816938146891E-3</v>
      </c>
      <c r="E158" s="3">
        <v>5.503534252286664E-2</v>
      </c>
      <c r="F158" s="3">
        <v>2.0352253089676618E-2</v>
      </c>
      <c r="G158" s="3">
        <v>6.382825606646725E-3</v>
      </c>
    </row>
    <row r="159" spans="1:7" x14ac:dyDescent="0.2">
      <c r="A159" s="2">
        <v>36950</v>
      </c>
      <c r="B159">
        <v>-7.599966540126786E-2</v>
      </c>
      <c r="C159" s="3">
        <v>-8.1566249779944713E-2</v>
      </c>
      <c r="D159" s="3">
        <v>-5.844569752023257E-2</v>
      </c>
      <c r="E159" s="3">
        <v>-7.2756158004079585E-2</v>
      </c>
      <c r="F159" s="3">
        <v>-0.1054951067723838</v>
      </c>
      <c r="G159" s="3">
        <v>-3.2774044848553133E-2</v>
      </c>
    </row>
    <row r="160" spans="1:7" x14ac:dyDescent="0.2">
      <c r="A160" s="2">
        <v>36980</v>
      </c>
      <c r="B160">
        <v>-5.2161793685623313E-2</v>
      </c>
      <c r="C160" s="3">
        <v>-4.9280850385398554E-2</v>
      </c>
      <c r="D160" s="3">
        <v>-3.34069586868126E-2</v>
      </c>
      <c r="E160" s="3">
        <v>-9.3453276048249698E-2</v>
      </c>
      <c r="F160" s="3">
        <v>-5.4610136281425678E-2</v>
      </c>
      <c r="G160" s="3">
        <v>-1.5798983463735105E-2</v>
      </c>
    </row>
    <row r="161" spans="1:7" x14ac:dyDescent="0.2">
      <c r="A161" s="2">
        <v>37011</v>
      </c>
      <c r="B161">
        <v>8.9354366158954465E-2</v>
      </c>
      <c r="C161" s="3">
        <v>9.3584667177522618E-2</v>
      </c>
      <c r="D161" s="3">
        <v>7.8967937349209746E-2</v>
      </c>
      <c r="E161" s="3">
        <v>8.2453891353169342E-2</v>
      </c>
      <c r="F161" s="3">
        <v>0.10553501526482051</v>
      </c>
      <c r="G161" s="3">
        <v>8.5009604026913183E-2</v>
      </c>
    </row>
    <row r="162" spans="1:7" x14ac:dyDescent="0.2">
      <c r="A162" s="2">
        <v>37042</v>
      </c>
      <c r="B162">
        <v>1.0757144880452199E-2</v>
      </c>
      <c r="C162" s="3">
        <v>3.0300241087426065E-2</v>
      </c>
      <c r="D162" s="3">
        <v>-1.0017675462096814E-2</v>
      </c>
      <c r="E162" s="3">
        <v>-4.6053541577032432E-2</v>
      </c>
      <c r="F162" s="3">
        <v>-4.7385576940547167E-2</v>
      </c>
      <c r="G162" s="3">
        <v>2.3379213739495999E-2</v>
      </c>
    </row>
    <row r="163" spans="1:7" x14ac:dyDescent="0.2">
      <c r="A163" s="2">
        <v>37071</v>
      </c>
      <c r="B163">
        <v>-4.2830514930614481E-2</v>
      </c>
      <c r="C163" s="3">
        <v>-3.371988609300957E-2</v>
      </c>
      <c r="D163" s="3">
        <v>-4.5923268154607719E-2</v>
      </c>
      <c r="E163" s="3">
        <v>-1.7821931479077478E-2</v>
      </c>
      <c r="F163" s="3">
        <v>-5.2009407570625957E-2</v>
      </c>
      <c r="G163" s="3">
        <v>-7.1462715391027026E-2</v>
      </c>
    </row>
    <row r="164" spans="1:7" x14ac:dyDescent="0.2">
      <c r="A164" s="2">
        <v>37103</v>
      </c>
      <c r="B164">
        <v>-5.9310284470641253E-2</v>
      </c>
      <c r="C164" s="3">
        <v>-5.5653230285204899E-2</v>
      </c>
      <c r="D164" s="3">
        <v>-4.471561911091184E-2</v>
      </c>
      <c r="E164" s="3">
        <v>-4.1557287243838982E-2</v>
      </c>
      <c r="F164" s="3">
        <v>-4.079285750665395E-2</v>
      </c>
      <c r="G164" s="3">
        <v>-0.12273099117290398</v>
      </c>
    </row>
    <row r="165" spans="1:7" x14ac:dyDescent="0.2">
      <c r="A165" s="2">
        <v>37134</v>
      </c>
      <c r="B165">
        <v>-6.1791363170656706E-2</v>
      </c>
      <c r="C165" s="3">
        <v>-8.1318373551569401E-2</v>
      </c>
      <c r="D165" s="3">
        <v>-2.5458725336747402E-2</v>
      </c>
      <c r="E165" s="3">
        <v>-8.4965581992886716E-2</v>
      </c>
      <c r="F165" s="3">
        <v>-4.5825273622238108E-2</v>
      </c>
      <c r="G165" s="3">
        <v>-3.6409137596406654E-2</v>
      </c>
    </row>
    <row r="166" spans="1:7" x14ac:dyDescent="0.2">
      <c r="A166" s="2">
        <v>37162</v>
      </c>
      <c r="B166">
        <v>-8.640410626012246E-2</v>
      </c>
      <c r="C166" s="3">
        <v>-7.3542675718163683E-2</v>
      </c>
      <c r="D166" s="3">
        <v>-6.2986578145707961E-2</v>
      </c>
      <c r="E166" s="3">
        <v>-0.17023531319299734</v>
      </c>
      <c r="F166" s="3">
        <v>-0.11725128122105972</v>
      </c>
      <c r="G166" s="3">
        <v>-9.4078904594111723E-2</v>
      </c>
    </row>
    <row r="167" spans="1:7" x14ac:dyDescent="0.2">
      <c r="A167" s="2">
        <v>37195</v>
      </c>
      <c r="B167">
        <v>3.7007936462353758E-2</v>
      </c>
      <c r="C167" s="3">
        <v>3.2091001712601611E-2</v>
      </c>
      <c r="D167" s="3">
        <v>3.6794206197860786E-2</v>
      </c>
      <c r="E167" s="3">
        <v>6.1663984493512486E-2</v>
      </c>
      <c r="F167" s="3">
        <v>6.7541993489936433E-2</v>
      </c>
      <c r="G167" s="3">
        <v>1.6641495894040455E-2</v>
      </c>
    </row>
    <row r="168" spans="1:7" x14ac:dyDescent="0.2">
      <c r="A168" s="2">
        <v>37225</v>
      </c>
      <c r="B168">
        <v>5.3145438950432763E-2</v>
      </c>
      <c r="C168" s="3">
        <v>6.9431638406221047E-2</v>
      </c>
      <c r="D168" s="3">
        <v>1.6277833231583022E-2</v>
      </c>
      <c r="E168" s="3">
        <v>8.0879033734964245E-2</v>
      </c>
      <c r="F168" s="3">
        <v>2.5798848151207074E-2</v>
      </c>
      <c r="G168" s="3">
        <v>7.5751897630807544E-3</v>
      </c>
    </row>
    <row r="169" spans="1:7" x14ac:dyDescent="0.2">
      <c r="A169" s="2">
        <v>37256</v>
      </c>
      <c r="B169">
        <v>1.4603158361163963E-2</v>
      </c>
      <c r="C169" s="3">
        <v>1.4147709218733871E-2</v>
      </c>
      <c r="D169" s="3">
        <v>3.2002118884539812E-2</v>
      </c>
      <c r="E169" s="3">
        <v>3.9102287365256734E-2</v>
      </c>
      <c r="F169" s="3">
        <v>4.0243045219259498E-2</v>
      </c>
      <c r="G169" s="3">
        <v>-6.1021373487173423E-2</v>
      </c>
    </row>
    <row r="170" spans="1:7" x14ac:dyDescent="0.2">
      <c r="A170" s="2">
        <v>37287</v>
      </c>
      <c r="B170">
        <v>-1.7227098695589495E-2</v>
      </c>
      <c r="C170" s="3">
        <v>-9.9228829592136361E-4</v>
      </c>
      <c r="D170" s="3">
        <v>-2.9331409267080454E-2</v>
      </c>
      <c r="E170" s="3">
        <v>-3.3554922167136549E-2</v>
      </c>
      <c r="F170" s="3">
        <v>-5.1494676131072205E-2</v>
      </c>
      <c r="G170" s="3">
        <v>-6.7324316246049731E-2</v>
      </c>
    </row>
    <row r="171" spans="1:7" x14ac:dyDescent="0.2">
      <c r="A171" s="2">
        <v>37315</v>
      </c>
      <c r="B171">
        <v>-1.6768113393963235E-2</v>
      </c>
      <c r="C171" s="3">
        <v>-2.8071874799084448E-2</v>
      </c>
      <c r="D171" s="3">
        <v>-1.5817055445321582E-2</v>
      </c>
      <c r="E171" s="3">
        <v>-2.0028300903867063E-2</v>
      </c>
      <c r="F171" s="3">
        <v>1.729601891678283E-3</v>
      </c>
      <c r="G171" s="3">
        <v>3.3747251341162951E-2</v>
      </c>
    </row>
    <row r="172" spans="1:7" x14ac:dyDescent="0.2">
      <c r="A172" s="2">
        <v>37344</v>
      </c>
      <c r="B172">
        <v>3.0909653217636349E-2</v>
      </c>
      <c r="C172" s="3">
        <v>2.5105610536209352E-2</v>
      </c>
      <c r="D172" s="3">
        <v>2.93784861609016E-2</v>
      </c>
      <c r="E172" s="3">
        <v>6.5629597915315613E-2</v>
      </c>
      <c r="F172" s="3">
        <v>4.0917941120871382E-2</v>
      </c>
      <c r="G172" s="3">
        <v>4.1411508878844386E-2</v>
      </c>
    </row>
    <row r="173" spans="1:7" x14ac:dyDescent="0.2">
      <c r="A173" s="2">
        <v>37376</v>
      </c>
      <c r="B173">
        <v>-7.0249017748789735E-2</v>
      </c>
      <c r="C173" s="3">
        <v>-0.10232078164284618</v>
      </c>
      <c r="D173" s="3">
        <v>-3.2749728654217582E-2</v>
      </c>
      <c r="E173" s="3">
        <v>-6.7499946378577466E-2</v>
      </c>
      <c r="F173" s="3">
        <v>-5.1208958772408518E-2</v>
      </c>
      <c r="G173" s="3">
        <v>2.2185772164784578E-2</v>
      </c>
    </row>
    <row r="174" spans="1:7" x14ac:dyDescent="0.2">
      <c r="A174" s="2">
        <v>37407</v>
      </c>
      <c r="B174">
        <v>-4.2168239638242261E-2</v>
      </c>
      <c r="C174" s="3">
        <v>-5.0793201259914239E-2</v>
      </c>
      <c r="D174" s="3">
        <v>-6.0595898128526358E-2</v>
      </c>
      <c r="E174" s="3">
        <v>-5.8876136768733003E-2</v>
      </c>
      <c r="F174" s="3">
        <v>-4.5723033991772889E-2</v>
      </c>
      <c r="G174" s="3">
        <v>1.8674444190878121E-2</v>
      </c>
    </row>
    <row r="175" spans="1:7" x14ac:dyDescent="0.2">
      <c r="A175" s="2">
        <v>37435</v>
      </c>
      <c r="B175">
        <v>-0.10241356288812048</v>
      </c>
      <c r="C175" s="3">
        <v>-0.11899246138254181</v>
      </c>
      <c r="D175" s="3">
        <v>-8.3339434467998824E-2</v>
      </c>
      <c r="E175" s="3">
        <v>-7.0245768757997568E-2</v>
      </c>
      <c r="F175" s="3">
        <v>-7.0603962506246259E-2</v>
      </c>
      <c r="G175" s="3">
        <v>-9.2043547934335959E-2</v>
      </c>
    </row>
    <row r="176" spans="1:7" x14ac:dyDescent="0.2">
      <c r="A176" s="2">
        <v>37468</v>
      </c>
      <c r="B176">
        <v>-7.3324825971395322E-2</v>
      </c>
      <c r="C176" s="3">
        <v>-6.0127545490010273E-2</v>
      </c>
      <c r="D176" s="3">
        <v>-5.5684152637630061E-2</v>
      </c>
      <c r="E176" s="3">
        <v>-0.16520466520568772</v>
      </c>
      <c r="F176" s="3">
        <v>-0.12981481238656936</v>
      </c>
      <c r="G176" s="3">
        <v>-5.6400218187953287E-2</v>
      </c>
    </row>
    <row r="177" spans="1:7" x14ac:dyDescent="0.2">
      <c r="A177" s="2">
        <v>37498</v>
      </c>
      <c r="B177">
        <v>-2.5165949300727151E-3</v>
      </c>
      <c r="C177" s="3">
        <v>6.351135421542183E-4</v>
      </c>
      <c r="D177" s="3">
        <v>-1.9109484929504358E-2</v>
      </c>
      <c r="E177" s="3">
        <v>1.7731247223090997E-3</v>
      </c>
      <c r="F177" s="3">
        <v>-1.8555615134510681E-2</v>
      </c>
      <c r="G177" s="3">
        <v>-1.3338902978859091E-2</v>
      </c>
    </row>
    <row r="178" spans="1:7" x14ac:dyDescent="0.2">
      <c r="A178" s="2">
        <v>37529</v>
      </c>
      <c r="B178">
        <v>-0.11854823779476767</v>
      </c>
      <c r="C178" s="3">
        <v>-0.12189722710231153</v>
      </c>
      <c r="D178" s="3">
        <v>-0.11182868504104845</v>
      </c>
      <c r="E178" s="3">
        <v>-0.27969397874968888</v>
      </c>
      <c r="F178" s="3">
        <v>-0.16708265493852742</v>
      </c>
      <c r="G178" s="3">
        <v>-4.925164668603571E-2</v>
      </c>
    </row>
    <row r="179" spans="1:7" x14ac:dyDescent="0.2">
      <c r="A179" s="2">
        <v>37560</v>
      </c>
      <c r="B179">
        <v>4.9944045553775275E-2</v>
      </c>
      <c r="C179" s="3">
        <v>6.5225132773173988E-2</v>
      </c>
      <c r="D179" s="3">
        <v>5.3735137089417344E-2</v>
      </c>
      <c r="E179" s="3">
        <v>0.11058651245218228</v>
      </c>
      <c r="F179" s="3">
        <v>0.10188176833622518</v>
      </c>
      <c r="G179" s="3">
        <v>-9.2533842499417429E-2</v>
      </c>
    </row>
    <row r="180" spans="1:7" x14ac:dyDescent="0.2">
      <c r="A180" s="2">
        <v>37589</v>
      </c>
      <c r="B180">
        <v>3.3272780366137789E-2</v>
      </c>
      <c r="C180" s="3">
        <v>3.8799144651974732E-2</v>
      </c>
      <c r="D180" s="3">
        <v>9.2831874641281457E-3</v>
      </c>
      <c r="E180" s="3">
        <v>3.7206231276258647E-2</v>
      </c>
      <c r="F180" s="3">
        <v>2.3468483022428578E-2</v>
      </c>
      <c r="G180" s="3">
        <v>2.1259655447157921E-2</v>
      </c>
    </row>
    <row r="181" spans="1:7" x14ac:dyDescent="0.2">
      <c r="A181" s="2">
        <v>37621</v>
      </c>
      <c r="B181">
        <v>-9.1886587804910269E-2</v>
      </c>
      <c r="C181" s="3">
        <v>-0.10515250114467509</v>
      </c>
      <c r="D181" s="3">
        <v>-6.4133329365411385E-2</v>
      </c>
      <c r="E181" s="3">
        <v>-0.12099137401554445</v>
      </c>
      <c r="F181" s="3">
        <v>-6.9187102097316655E-2</v>
      </c>
      <c r="G181" s="3">
        <v>-6.7002097615694228E-2</v>
      </c>
    </row>
    <row r="182" spans="1:7" x14ac:dyDescent="0.2">
      <c r="A182" s="2">
        <v>37652</v>
      </c>
      <c r="B182">
        <v>-4.695566837011355E-2</v>
      </c>
      <c r="C182" s="3">
        <v>-4.1001490694948239E-2</v>
      </c>
      <c r="D182" s="3">
        <v>-8.9056923614881767E-2</v>
      </c>
      <c r="E182" s="3">
        <v>-4.2624100248777878E-2</v>
      </c>
      <c r="F182" s="3">
        <v>-4.9245958193477407E-2</v>
      </c>
      <c r="G182" s="3">
        <v>-5.6680656770167183E-2</v>
      </c>
    </row>
    <row r="183" spans="1:7" x14ac:dyDescent="0.2">
      <c r="A183" s="2">
        <v>37680</v>
      </c>
      <c r="B183">
        <v>-2.0345170874474978E-2</v>
      </c>
      <c r="C183" s="3">
        <v>-1.8433922012114141E-2</v>
      </c>
      <c r="D183" s="3">
        <v>-2.2793998857878341E-2</v>
      </c>
      <c r="E183" s="3">
        <v>-7.3341612830578898E-2</v>
      </c>
      <c r="F183" s="3">
        <v>-5.1348924824852753E-2</v>
      </c>
      <c r="G183" s="3">
        <v>4.524683441634615E-3</v>
      </c>
    </row>
    <row r="184" spans="1:7" x14ac:dyDescent="0.2">
      <c r="A184" s="2">
        <v>37711</v>
      </c>
      <c r="B184">
        <v>-1.163655991329716E-2</v>
      </c>
      <c r="C184" s="3">
        <v>1.9177926067074731E-3</v>
      </c>
      <c r="D184" s="3">
        <v>-1.4451971800748354E-2</v>
      </c>
      <c r="E184" s="3">
        <v>-4.4576300167957751E-2</v>
      </c>
      <c r="F184" s="3">
        <v>-4.3891838978067213E-2</v>
      </c>
      <c r="G184" s="3">
        <v>-5.6976026548141101E-2</v>
      </c>
    </row>
    <row r="185" spans="1:7" x14ac:dyDescent="0.2">
      <c r="A185" s="2">
        <v>37741</v>
      </c>
      <c r="B185">
        <v>2.0920852707734337E-2</v>
      </c>
      <c r="C185" s="3">
        <v>1.7087479236098775E-2</v>
      </c>
      <c r="D185" s="3">
        <v>3.3800366991355253E-2</v>
      </c>
      <c r="E185" s="3">
        <v>0.14010621204545468</v>
      </c>
      <c r="F185" s="3">
        <v>8.0444781226073431E-2</v>
      </c>
      <c r="G185" s="3">
        <v>-6.9851998960727399E-2</v>
      </c>
    </row>
    <row r="186" spans="1:7" x14ac:dyDescent="0.2">
      <c r="A186" s="2">
        <v>37771</v>
      </c>
      <c r="B186">
        <v>4.2936681505493943E-2</v>
      </c>
      <c r="C186" s="3">
        <v>4.0335041180506945E-2</v>
      </c>
      <c r="D186" s="3">
        <v>4.6321192303039174E-2</v>
      </c>
      <c r="E186" s="3">
        <v>4.5207952638804692E-2</v>
      </c>
      <c r="F186" s="3">
        <v>4.8610365886768578E-2</v>
      </c>
      <c r="G186" s="3">
        <v>3.6775208628676989E-2</v>
      </c>
    </row>
    <row r="187" spans="1:7" x14ac:dyDescent="0.2">
      <c r="A187" s="2">
        <v>37802</v>
      </c>
      <c r="B187">
        <v>4.2351939638275778E-2</v>
      </c>
      <c r="C187" s="3">
        <v>3.772441170733741E-2</v>
      </c>
      <c r="D187" s="3">
        <v>3.3548484578400671E-2</v>
      </c>
      <c r="E187" s="3">
        <v>7.3017282711071524E-2</v>
      </c>
      <c r="F187" s="3">
        <v>3.6611301283376391E-2</v>
      </c>
      <c r="G187" s="3">
        <v>9.7715553051707413E-2</v>
      </c>
    </row>
    <row r="188" spans="1:7" x14ac:dyDescent="0.2">
      <c r="A188" s="2">
        <v>37833</v>
      </c>
      <c r="B188">
        <v>3.7652252952872813E-2</v>
      </c>
      <c r="C188" s="3">
        <v>3.5697142425519794E-2</v>
      </c>
      <c r="D188" s="3">
        <v>2.3365564178055055E-2</v>
      </c>
      <c r="E188" s="3">
        <v>7.6181154410540408E-2</v>
      </c>
      <c r="F188" s="3">
        <v>3.5997074534087722E-2</v>
      </c>
      <c r="G188" s="3">
        <v>5.8409278189405785E-2</v>
      </c>
    </row>
    <row r="189" spans="1:7" x14ac:dyDescent="0.2">
      <c r="A189" s="2">
        <v>37862</v>
      </c>
      <c r="B189">
        <v>9.5742365141128494E-3</v>
      </c>
      <c r="C189" s="3">
        <v>6.992112107742963E-3</v>
      </c>
      <c r="D189" s="3">
        <v>-2.3827920301520332E-2</v>
      </c>
      <c r="E189" s="3">
        <v>-2.6842851800187736E-2</v>
      </c>
      <c r="F189" s="3">
        <v>-2.689627506923164E-3</v>
      </c>
      <c r="G189" s="3">
        <v>9.0063154224512137E-2</v>
      </c>
    </row>
    <row r="190" spans="1:7" x14ac:dyDescent="0.2">
      <c r="A190" s="2">
        <v>37894</v>
      </c>
      <c r="B190">
        <v>-3.4146164003858177E-2</v>
      </c>
      <c r="C190" s="3">
        <v>-5.1894148808154419E-2</v>
      </c>
      <c r="D190" s="3">
        <v>-6.1479458336427713E-3</v>
      </c>
      <c r="E190" s="3">
        <v>-4.6252540997612064E-2</v>
      </c>
      <c r="F190" s="3">
        <v>-3.4640356705664774E-2</v>
      </c>
      <c r="G190" s="3">
        <v>1.5407025419351688E-2</v>
      </c>
    </row>
    <row r="191" spans="1:7" x14ac:dyDescent="0.2">
      <c r="A191" s="2">
        <v>37925</v>
      </c>
      <c r="B191">
        <v>5.7044837396665687E-2</v>
      </c>
      <c r="C191" s="3">
        <v>5.4351930988793803E-2</v>
      </c>
      <c r="D191" s="3">
        <v>6.4877860209471547E-2</v>
      </c>
      <c r="E191" s="3">
        <v>0.11283467123898344</v>
      </c>
      <c r="F191" s="3">
        <v>6.6457996723200338E-2</v>
      </c>
      <c r="G191" s="3">
        <v>4.5025617035521902E-2</v>
      </c>
    </row>
    <row r="192" spans="1:7" x14ac:dyDescent="0.2">
      <c r="A192" s="2">
        <v>37953</v>
      </c>
      <c r="B192">
        <v>-3.5262616097164586E-2</v>
      </c>
      <c r="C192" s="3">
        <v>-4.1015173638922459E-2</v>
      </c>
      <c r="D192" s="3">
        <v>-2.3489719079886923E-2</v>
      </c>
      <c r="E192" s="3">
        <v>2.8140414656857137E-3</v>
      </c>
      <c r="F192" s="3">
        <v>1.3539099383349795E-3</v>
      </c>
      <c r="G192" s="3">
        <v>-8.0460643391752698E-2</v>
      </c>
    </row>
    <row r="193" spans="1:7" x14ac:dyDescent="0.2">
      <c r="A193" s="2">
        <v>37986</v>
      </c>
      <c r="B193">
        <v>3.2676676608204266E-2</v>
      </c>
      <c r="C193" s="3">
        <v>2.1748264705103267E-2</v>
      </c>
      <c r="D193" s="3">
        <v>4.4491954784088891E-2</v>
      </c>
      <c r="E193" s="3">
        <v>8.0596853743612501E-2</v>
      </c>
      <c r="F193" s="3">
        <v>5.9180558303501579E-2</v>
      </c>
      <c r="G193" s="3">
        <v>3.9386426743693088E-2</v>
      </c>
    </row>
    <row r="194" spans="1:7" x14ac:dyDescent="0.2">
      <c r="A194" s="2">
        <v>38016</v>
      </c>
      <c r="B194">
        <v>1.5134524906115185E-2</v>
      </c>
      <c r="C194" s="3">
        <v>1.6706429469716195E-2</v>
      </c>
      <c r="D194" s="3">
        <v>-3.6132318810931778E-3</v>
      </c>
      <c r="E194" s="3">
        <v>8.8114294290012642E-3</v>
      </c>
      <c r="F194" s="3">
        <v>7.2715537259189734E-3</v>
      </c>
      <c r="G194" s="3">
        <v>1.7746339604429208E-2</v>
      </c>
    </row>
    <row r="195" spans="1:7" x14ac:dyDescent="0.2">
      <c r="A195" s="2">
        <v>38044</v>
      </c>
      <c r="B195">
        <v>4.5870323382111201E-2</v>
      </c>
      <c r="C195" s="3">
        <v>4.0847667697785368E-2</v>
      </c>
      <c r="D195" s="3">
        <v>7.2082819723070721E-2</v>
      </c>
      <c r="E195" s="3">
        <v>2.2110442605655308E-2</v>
      </c>
      <c r="F195" s="3">
        <v>5.5573233792489581E-2</v>
      </c>
      <c r="G195" s="3">
        <v>2.7300251365653453E-2</v>
      </c>
    </row>
    <row r="196" spans="1:7" x14ac:dyDescent="0.2">
      <c r="A196" s="2">
        <v>38077</v>
      </c>
      <c r="B196">
        <v>1.3513902022113337E-2</v>
      </c>
      <c r="C196" s="3">
        <v>5.1109362283913709E-3</v>
      </c>
      <c r="D196" s="3">
        <v>-9.4789664360090137E-3</v>
      </c>
      <c r="E196" s="3">
        <v>-2.6114369759521586E-2</v>
      </c>
      <c r="F196" s="3">
        <v>-1.3825566581601622E-2</v>
      </c>
      <c r="G196" s="3">
        <v>0.14418174446019422</v>
      </c>
    </row>
    <row r="197" spans="1:7" x14ac:dyDescent="0.2">
      <c r="A197" s="2">
        <v>38107</v>
      </c>
      <c r="B197">
        <v>-2.3354323555030584E-2</v>
      </c>
      <c r="C197" s="3">
        <v>-1.75338412997668E-2</v>
      </c>
      <c r="D197" s="3">
        <v>-9.9362132534709224E-3</v>
      </c>
      <c r="E197" s="3">
        <v>-4.565454098787159E-3</v>
      </c>
      <c r="F197" s="3">
        <v>-1.3478902649532521E-2</v>
      </c>
      <c r="G197" s="3">
        <v>-5.6866989516586787E-2</v>
      </c>
    </row>
    <row r="198" spans="1:7" x14ac:dyDescent="0.2">
      <c r="A198" s="2">
        <v>38138</v>
      </c>
      <c r="B198">
        <v>-5.3857851756997773E-3</v>
      </c>
      <c r="C198" s="3">
        <v>-4.7066464992745596E-4</v>
      </c>
      <c r="D198" s="3">
        <v>6.5102866457175694E-3</v>
      </c>
      <c r="E198" s="3">
        <v>-1.2066039394293782E-2</v>
      </c>
      <c r="F198" s="3">
        <v>4.8434615775990496E-3</v>
      </c>
      <c r="G198" s="3">
        <v>-4.8300281538699544E-2</v>
      </c>
    </row>
    <row r="199" spans="1:7" x14ac:dyDescent="0.2">
      <c r="A199" s="2">
        <v>38168</v>
      </c>
      <c r="B199">
        <v>9.0563566522429209E-3</v>
      </c>
      <c r="C199" s="3">
        <v>7.418632032369179E-3</v>
      </c>
      <c r="D199" s="3">
        <v>-1.2201652186970151E-2</v>
      </c>
      <c r="E199" s="3">
        <v>1.6880612276299601E-2</v>
      </c>
      <c r="F199" s="3">
        <v>3.9411981193805574E-3</v>
      </c>
      <c r="G199" s="3">
        <v>4.2317469058260088E-2</v>
      </c>
    </row>
    <row r="200" spans="1:7" x14ac:dyDescent="0.2">
      <c r="A200" s="2">
        <v>38198</v>
      </c>
      <c r="B200">
        <v>-2.7868607115397171E-2</v>
      </c>
      <c r="C200" s="3">
        <v>-2.9764663521774738E-2</v>
      </c>
      <c r="D200" s="3">
        <v>-4.6628673697898249E-3</v>
      </c>
      <c r="E200" s="3">
        <v>-4.4246315490047171E-2</v>
      </c>
      <c r="F200" s="3">
        <v>-2.5393980447620566E-2</v>
      </c>
      <c r="G200" s="3">
        <v>-5.5000171525356426E-2</v>
      </c>
    </row>
    <row r="201" spans="1:7" x14ac:dyDescent="0.2">
      <c r="A201" s="2">
        <v>38230</v>
      </c>
      <c r="B201">
        <v>-1.3593723739798992E-4</v>
      </c>
      <c r="C201" s="3">
        <v>6.4647227860111498E-4</v>
      </c>
      <c r="D201" s="3">
        <v>-4.1218033261596681E-3</v>
      </c>
      <c r="E201" s="3">
        <v>-2.164019938473211E-2</v>
      </c>
      <c r="F201" s="3">
        <v>-4.3986385406999465E-3</v>
      </c>
      <c r="G201" s="3">
        <v>4.379156629931844E-3</v>
      </c>
    </row>
    <row r="202" spans="1:7" x14ac:dyDescent="0.2">
      <c r="A202" s="2">
        <v>38260</v>
      </c>
      <c r="B202">
        <v>-5.3367803580850566E-3</v>
      </c>
      <c r="C202" s="3">
        <v>-1.3440880692798897E-2</v>
      </c>
      <c r="D202" s="3">
        <v>7.1140171372931719E-3</v>
      </c>
      <c r="E202" s="3">
        <v>2.8565968914085756E-2</v>
      </c>
      <c r="F202" s="3">
        <v>1.0446343136997292E-2</v>
      </c>
      <c r="G202" s="3">
        <v>-4.9459955412765065E-2</v>
      </c>
    </row>
    <row r="203" spans="1:7" x14ac:dyDescent="0.2">
      <c r="A203" s="2">
        <v>38289</v>
      </c>
      <c r="B203">
        <v>-1.5001228600383127E-2</v>
      </c>
      <c r="C203" s="3">
        <v>-2.451072095623856E-2</v>
      </c>
      <c r="D203" s="3">
        <v>-1.5092714146639407E-2</v>
      </c>
      <c r="E203" s="3">
        <v>1.3896384674431798E-3</v>
      </c>
      <c r="F203" s="3">
        <v>2.3361026161985619E-3</v>
      </c>
      <c r="G203" s="3">
        <v>-1.3552763291733175E-2</v>
      </c>
    </row>
    <row r="204" spans="1:7" x14ac:dyDescent="0.2">
      <c r="A204" s="2">
        <v>38321</v>
      </c>
      <c r="B204">
        <v>1.8698234493788043E-2</v>
      </c>
      <c r="C204" s="3">
        <v>7.4972607380281199E-3</v>
      </c>
      <c r="D204" s="3">
        <v>2.7877129490901941E-2</v>
      </c>
      <c r="E204" s="3">
        <v>5.3548132849465399E-2</v>
      </c>
      <c r="F204" s="3">
        <v>2.4872575502637231E-2</v>
      </c>
      <c r="G204" s="3">
        <v>1.5971615920300587E-2</v>
      </c>
    </row>
    <row r="205" spans="1:7" x14ac:dyDescent="0.2">
      <c r="A205" s="2">
        <v>38352</v>
      </c>
      <c r="B205">
        <v>5.7914563650117795E-2</v>
      </c>
      <c r="C205" s="3">
        <v>5.4197283633184733E-2</v>
      </c>
      <c r="D205" s="3">
        <v>5.2324580905824473E-2</v>
      </c>
      <c r="E205" s="3">
        <v>7.3781616183552751E-2</v>
      </c>
      <c r="F205" s="3">
        <v>6.1103857933389641E-2</v>
      </c>
      <c r="G205" s="3">
        <v>7.0976849898471306E-2</v>
      </c>
    </row>
    <row r="206" spans="1:7" x14ac:dyDescent="0.2">
      <c r="A206" s="2">
        <v>38383</v>
      </c>
      <c r="B206">
        <v>-1.493438482196641E-2</v>
      </c>
      <c r="C206" s="3">
        <v>-1.7616695917219389E-2</v>
      </c>
      <c r="D206" s="3">
        <v>7.4045790485276967E-4</v>
      </c>
      <c r="E206" s="3">
        <v>-3.3549116003683904E-2</v>
      </c>
      <c r="F206" s="3">
        <v>-8.4295423256663289E-3</v>
      </c>
      <c r="G206" s="3">
        <v>-1.5099776923575135E-2</v>
      </c>
    </row>
    <row r="207" spans="1:7" x14ac:dyDescent="0.2">
      <c r="A207" s="2">
        <v>38411</v>
      </c>
      <c r="B207">
        <v>1.6495404338761628E-2</v>
      </c>
      <c r="C207" s="3">
        <v>5.4110999180169879E-3</v>
      </c>
      <c r="D207" s="3">
        <v>3.0197359809885901E-2</v>
      </c>
      <c r="E207" s="3">
        <v>2.6648847505283221E-2</v>
      </c>
      <c r="F207" s="3">
        <v>3.5141819566969261E-2</v>
      </c>
      <c r="G207" s="3">
        <v>7.0516861774027138E-3</v>
      </c>
    </row>
    <row r="208" spans="1:7" x14ac:dyDescent="0.2">
      <c r="A208" s="2">
        <v>38442</v>
      </c>
      <c r="B208">
        <v>-3.4016888785080896E-3</v>
      </c>
      <c r="C208" s="3">
        <v>9.4772028011567793E-4</v>
      </c>
      <c r="D208" s="3">
        <v>-1.5493344627665212E-2</v>
      </c>
      <c r="E208" s="3">
        <v>-4.4604108405852522E-3</v>
      </c>
      <c r="F208" s="3">
        <v>5.1355776998829768E-3</v>
      </c>
      <c r="G208" s="3">
        <v>-7.9910943918391503E-3</v>
      </c>
    </row>
    <row r="209" spans="1:7" x14ac:dyDescent="0.2">
      <c r="A209" s="2">
        <v>38471</v>
      </c>
      <c r="B209">
        <v>-5.0247314197502269E-3</v>
      </c>
      <c r="C209" s="3">
        <v>-2.4516862371252204E-4</v>
      </c>
      <c r="D209" s="3">
        <v>6.7621126567988746E-3</v>
      </c>
      <c r="E209" s="3">
        <v>-4.0032769427534948E-2</v>
      </c>
      <c r="F209" s="3">
        <v>-2.7334541521099851E-2</v>
      </c>
      <c r="G209" s="3">
        <v>-6.9218097899974677E-3</v>
      </c>
    </row>
    <row r="210" spans="1:7" x14ac:dyDescent="0.2">
      <c r="A210" s="2">
        <v>38503</v>
      </c>
      <c r="B210">
        <v>5.867629765196989E-2</v>
      </c>
      <c r="C210" s="3">
        <v>7.4024595979127222E-2</v>
      </c>
      <c r="D210" s="3">
        <v>3.088298991252247E-2</v>
      </c>
      <c r="E210" s="3">
        <v>5.7187261116445127E-2</v>
      </c>
      <c r="F210" s="3">
        <v>5.2736591718785905E-2</v>
      </c>
      <c r="G210" s="3">
        <v>3.4300607405205755E-2</v>
      </c>
    </row>
    <row r="211" spans="1:7" x14ac:dyDescent="0.2">
      <c r="A211" s="2">
        <v>38533</v>
      </c>
      <c r="B211">
        <v>1.652516306302312E-2</v>
      </c>
      <c r="C211" s="3">
        <v>1.0376739371578769E-2</v>
      </c>
      <c r="D211" s="3">
        <v>2.2147870204525185E-2</v>
      </c>
      <c r="E211" s="3">
        <v>1.8165724077109799E-2</v>
      </c>
      <c r="F211" s="3">
        <v>1.6276187769997199E-2</v>
      </c>
      <c r="G211" s="3">
        <v>8.0988097617090086E-3</v>
      </c>
    </row>
    <row r="212" spans="1:7" x14ac:dyDescent="0.2">
      <c r="A212" s="2">
        <v>38562</v>
      </c>
      <c r="B212">
        <v>1.2804085239191521E-2</v>
      </c>
      <c r="C212" s="3">
        <v>1.4868061088906816E-2</v>
      </c>
      <c r="D212" s="3">
        <v>-8.5507940035853096E-3</v>
      </c>
      <c r="E212" s="3">
        <v>4.6495701222432136E-2</v>
      </c>
      <c r="F212" s="3">
        <v>3.4404970012382553E-2</v>
      </c>
      <c r="G212" s="3">
        <v>-1.0996135964665532E-2</v>
      </c>
    </row>
    <row r="213" spans="1:7" x14ac:dyDescent="0.2">
      <c r="A213" s="2">
        <v>38595</v>
      </c>
      <c r="B213">
        <v>1.0554999767604205E-2</v>
      </c>
      <c r="C213" s="3">
        <v>-6.4109184374573002E-3</v>
      </c>
      <c r="D213" s="3">
        <v>2.7833599957442598E-2</v>
      </c>
      <c r="E213" s="3">
        <v>8.1233001878044647E-3</v>
      </c>
      <c r="F213" s="3">
        <v>7.7337980124609828E-3</v>
      </c>
      <c r="G213" s="3">
        <v>7.213391361691282E-2</v>
      </c>
    </row>
    <row r="214" spans="1:7" x14ac:dyDescent="0.2">
      <c r="A214" s="2">
        <v>38625</v>
      </c>
      <c r="B214">
        <v>4.1870899274074717E-2</v>
      </c>
      <c r="C214" s="3">
        <v>2.4834554021438769E-2</v>
      </c>
      <c r="D214" s="3">
        <v>3.3537498730254224E-2</v>
      </c>
      <c r="E214" s="3">
        <v>3.9794981558136398E-2</v>
      </c>
      <c r="F214" s="3">
        <v>4.2384275800102567E-2</v>
      </c>
      <c r="G214" s="3">
        <v>0.11153606251740317</v>
      </c>
    </row>
    <row r="215" spans="1:7" x14ac:dyDescent="0.2">
      <c r="A215" s="2">
        <v>38656</v>
      </c>
      <c r="B215">
        <v>-5.5975012829598486E-3</v>
      </c>
      <c r="C215" s="3">
        <v>1.9585934056298962E-3</v>
      </c>
      <c r="D215" s="3">
        <v>-1.2045108037082477E-2</v>
      </c>
      <c r="E215" s="3">
        <v>-1.1806941587946995E-2</v>
      </c>
      <c r="F215" s="3">
        <v>-2.4356506654417645E-2</v>
      </c>
      <c r="G215" s="3">
        <v>7.3552466840016663E-3</v>
      </c>
    </row>
    <row r="216" spans="1:7" x14ac:dyDescent="0.2">
      <c r="A216" s="2">
        <v>38686</v>
      </c>
      <c r="B216">
        <v>2.4862533155789544E-2</v>
      </c>
      <c r="C216" s="3">
        <v>3.1009468633199644E-2</v>
      </c>
      <c r="D216" s="3">
        <v>-6.1655606896922491E-3</v>
      </c>
      <c r="E216" s="3">
        <v>2.8469284832003412E-2</v>
      </c>
      <c r="F216" s="3">
        <v>8.6697017412161997E-3</v>
      </c>
      <c r="G216" s="3">
        <v>3.5621628758604203E-2</v>
      </c>
    </row>
    <row r="217" spans="1:7" x14ac:dyDescent="0.2">
      <c r="A217" s="2">
        <v>38716</v>
      </c>
      <c r="B217">
        <v>-9.0779268076056905E-4</v>
      </c>
      <c r="C217" s="3">
        <v>-2.2858208614955508E-2</v>
      </c>
      <c r="D217" s="3">
        <v>5.6567284822832088E-3</v>
      </c>
      <c r="E217" s="3">
        <v>1.8206057317048868E-2</v>
      </c>
      <c r="F217" s="3">
        <v>1.1576091333385134E-2</v>
      </c>
      <c r="G217" s="3">
        <v>5.9841533686654264E-2</v>
      </c>
    </row>
    <row r="218" spans="1:7" x14ac:dyDescent="0.2">
      <c r="A218" s="2">
        <v>38748</v>
      </c>
      <c r="B218">
        <v>5.858405906597363E-2</v>
      </c>
      <c r="C218" s="3">
        <v>4.1392455596126226E-2</v>
      </c>
      <c r="D218" s="3">
        <v>7.295299957117439E-2</v>
      </c>
      <c r="E218" s="3">
        <v>9.4736278401494817E-2</v>
      </c>
      <c r="F218" s="3">
        <v>9.3360452086618584E-2</v>
      </c>
      <c r="G218" s="3">
        <v>6.4622547150577497E-2</v>
      </c>
    </row>
    <row r="219" spans="1:7" x14ac:dyDescent="0.2">
      <c r="A219" s="2">
        <v>38776</v>
      </c>
      <c r="B219">
        <v>-1.0210477040176963E-2</v>
      </c>
      <c r="C219" s="3">
        <v>-8.5240532109286914E-3</v>
      </c>
      <c r="D219" s="3">
        <v>-1.7346113147705088E-2</v>
      </c>
      <c r="E219" s="3">
        <v>-2.3164341116710565E-3</v>
      </c>
      <c r="F219" s="3">
        <v>-1.8375775559110245E-2</v>
      </c>
      <c r="G219" s="3">
        <v>-1.6075113836541099E-2</v>
      </c>
    </row>
    <row r="220" spans="1:7" x14ac:dyDescent="0.2">
      <c r="A220" s="2">
        <v>38807</v>
      </c>
      <c r="B220">
        <v>-7.8793927883460003E-4</v>
      </c>
      <c r="C220" s="3">
        <v>-8.785345247528482E-3</v>
      </c>
      <c r="D220" s="3">
        <v>6.4141024735310536E-4</v>
      </c>
      <c r="E220" s="3">
        <v>2.2921602042778086E-2</v>
      </c>
      <c r="F220" s="3">
        <v>3.7096665540048722E-2</v>
      </c>
      <c r="G220" s="3">
        <v>-9.0170594947303593E-5</v>
      </c>
    </row>
    <row r="221" spans="1:7" x14ac:dyDescent="0.2">
      <c r="A221" s="2">
        <v>38835</v>
      </c>
      <c r="B221">
        <v>-1.1170859458823307E-2</v>
      </c>
      <c r="C221" s="3">
        <v>-2.758101512909579E-2</v>
      </c>
      <c r="D221" s="3">
        <v>1.6442382838562326E-2</v>
      </c>
      <c r="E221" s="3">
        <v>4.58170494106791E-3</v>
      </c>
      <c r="F221" s="3">
        <v>-6.0630260586325823E-3</v>
      </c>
      <c r="G221" s="3">
        <v>-1.1056989667153915E-2</v>
      </c>
    </row>
    <row r="222" spans="1:7" x14ac:dyDescent="0.2">
      <c r="A222" s="2">
        <v>38868</v>
      </c>
      <c r="B222">
        <v>-2.9602709434472858E-2</v>
      </c>
      <c r="C222" s="3">
        <v>-2.3853408661232561E-2</v>
      </c>
      <c r="D222" s="3">
        <v>-1.5106152054168976E-2</v>
      </c>
      <c r="E222" s="3">
        <v>-4.7237418770841616E-2</v>
      </c>
      <c r="F222" s="3">
        <v>-2.4483578130697015E-2</v>
      </c>
      <c r="G222" s="3">
        <v>-5.6091329131249992E-2</v>
      </c>
    </row>
    <row r="223" spans="1:7" x14ac:dyDescent="0.2">
      <c r="A223" s="2">
        <v>38898</v>
      </c>
      <c r="B223">
        <v>-3.3345337895056837E-3</v>
      </c>
      <c r="C223" s="3">
        <v>-1.7284852549905138E-3</v>
      </c>
      <c r="D223" s="3">
        <v>5.6323985943665346E-3</v>
      </c>
      <c r="E223" s="3">
        <v>-1.3332192550359738E-2</v>
      </c>
      <c r="F223" s="3">
        <v>4.5613455927546922E-3</v>
      </c>
      <c r="G223" s="3">
        <v>-1.3093479948532166E-2</v>
      </c>
    </row>
    <row r="224" spans="1:7" x14ac:dyDescent="0.2">
      <c r="A224" s="2">
        <v>38929</v>
      </c>
      <c r="B224">
        <v>5.2788123045004231E-3</v>
      </c>
      <c r="C224" s="3">
        <v>2.0871281918814441E-3</v>
      </c>
      <c r="D224" s="3">
        <v>2.1671949643489972E-2</v>
      </c>
      <c r="E224" s="3">
        <v>-3.8859320359624794E-3</v>
      </c>
      <c r="F224" s="3">
        <v>5.4066985019321397E-3</v>
      </c>
      <c r="G224" s="3">
        <v>-5.8165688455425087E-3</v>
      </c>
    </row>
    <row r="225" spans="1:7" x14ac:dyDescent="0.2">
      <c r="A225" s="2">
        <v>38960</v>
      </c>
      <c r="B225">
        <v>1.3596588205826337E-2</v>
      </c>
      <c r="C225" s="3">
        <v>1.1500904560234679E-2</v>
      </c>
      <c r="D225" s="3">
        <v>7.0887717587964491E-3</v>
      </c>
      <c r="E225" s="3">
        <v>2.5713314461274193E-2</v>
      </c>
      <c r="F225" s="3">
        <v>2.2436416503991946E-2</v>
      </c>
      <c r="G225" s="3">
        <v>4.8090882813891988E-3</v>
      </c>
    </row>
    <row r="226" spans="1:7" x14ac:dyDescent="0.2">
      <c r="A226" s="2">
        <v>38989</v>
      </c>
      <c r="B226">
        <v>1.7192557209471569E-2</v>
      </c>
      <c r="C226" s="3">
        <v>3.052885431814055E-2</v>
      </c>
      <c r="D226" s="3">
        <v>1.8480185440742202E-4</v>
      </c>
      <c r="E226" s="3">
        <v>2.1529967199802821E-2</v>
      </c>
      <c r="F226" s="3">
        <v>1.5166045106863335E-2</v>
      </c>
      <c r="G226" s="3">
        <v>-1.4135077981349236E-2</v>
      </c>
    </row>
    <row r="227" spans="1:7" x14ac:dyDescent="0.2">
      <c r="A227" s="2">
        <v>39021</v>
      </c>
      <c r="B227">
        <v>4.4606824719682546E-2</v>
      </c>
      <c r="C227" s="3">
        <v>4.1768367757505448E-2</v>
      </c>
      <c r="D227" s="3">
        <v>5.7144433352860166E-2</v>
      </c>
      <c r="E227" s="3">
        <v>5.8031188471346785E-2</v>
      </c>
      <c r="F227" s="3">
        <v>3.567402193987209E-2</v>
      </c>
      <c r="G227" s="3">
        <v>2.637166050192925E-2</v>
      </c>
    </row>
    <row r="228" spans="1:7" x14ac:dyDescent="0.2">
      <c r="A228" s="2">
        <v>39051</v>
      </c>
      <c r="B228">
        <v>1.220697796581851E-3</v>
      </c>
      <c r="C228" s="3">
        <v>-3.9740642760257364E-3</v>
      </c>
      <c r="D228" s="3">
        <v>-1.4051216518458714E-3</v>
      </c>
      <c r="E228" s="3">
        <v>2.3755712199487748E-2</v>
      </c>
      <c r="F228" s="3">
        <v>1.551453499515423E-2</v>
      </c>
      <c r="G228" s="3">
        <v>-1.4324329352139429E-2</v>
      </c>
    </row>
    <row r="229" spans="1:7" x14ac:dyDescent="0.2">
      <c r="A229" s="2">
        <v>39080</v>
      </c>
      <c r="B229">
        <v>-6.1124824846067296E-3</v>
      </c>
      <c r="C229" s="3">
        <v>-1.4832687949668749E-2</v>
      </c>
      <c r="D229" s="3">
        <v>-1.0386132150539378E-3</v>
      </c>
      <c r="E229" s="3">
        <v>1.5048913045714351E-2</v>
      </c>
      <c r="F229" s="3">
        <v>9.0305583568131148E-3</v>
      </c>
      <c r="G229" s="3">
        <v>-1.3527171658114661E-3</v>
      </c>
    </row>
    <row r="230" spans="1:7" x14ac:dyDescent="0.2">
      <c r="A230" s="2">
        <v>39113</v>
      </c>
      <c r="B230">
        <v>2.748910587347532E-2</v>
      </c>
      <c r="C230" s="3">
        <v>3.3268950367816498E-2</v>
      </c>
      <c r="D230" s="3">
        <v>1.4453903304826392E-2</v>
      </c>
      <c r="E230" s="3">
        <v>2.8446828773462066E-2</v>
      </c>
      <c r="F230" s="3">
        <v>1.3209243953299638E-2</v>
      </c>
      <c r="G230" s="3">
        <v>2.4706180618267789E-2</v>
      </c>
    </row>
    <row r="231" spans="1:7" x14ac:dyDescent="0.2">
      <c r="A231" s="2">
        <v>39141</v>
      </c>
      <c r="B231">
        <v>-1.2300145074066425E-2</v>
      </c>
      <c r="C231" s="3">
        <v>-2.6502067920743742E-2</v>
      </c>
      <c r="D231" s="3">
        <v>-1.0141482484280141E-2</v>
      </c>
      <c r="E231" s="3">
        <v>3.295384757415414E-3</v>
      </c>
      <c r="F231" s="3">
        <v>-5.4646550228888277E-3</v>
      </c>
      <c r="G231" s="3">
        <v>3.3514933307331372E-2</v>
      </c>
    </row>
    <row r="232" spans="1:7" x14ac:dyDescent="0.2">
      <c r="A232" s="2">
        <v>39171</v>
      </c>
      <c r="B232">
        <v>3.0345886151801342E-3</v>
      </c>
      <c r="C232" s="3">
        <v>-3.221084725438817E-3</v>
      </c>
      <c r="D232" s="3">
        <v>1.2414149056736785E-2</v>
      </c>
      <c r="E232" s="3">
        <v>3.0087894237330316E-2</v>
      </c>
      <c r="F232" s="3">
        <v>1.7548002735027411E-2</v>
      </c>
      <c r="G232" s="3">
        <v>-3.1274953766754238E-2</v>
      </c>
    </row>
    <row r="233" spans="1:7" x14ac:dyDescent="0.2">
      <c r="A233" s="2">
        <v>39202</v>
      </c>
      <c r="B233">
        <v>2.0714887934814807E-2</v>
      </c>
      <c r="C233" s="3">
        <v>2.0563125433118647E-2</v>
      </c>
      <c r="D233" s="3">
        <v>2.0565310429893898E-2</v>
      </c>
      <c r="E233" s="3">
        <v>6.263984046776816E-2</v>
      </c>
      <c r="F233" s="3">
        <v>5.6594273270758479E-2</v>
      </c>
      <c r="G233" s="3">
        <v>-4.0478548017553247E-2</v>
      </c>
    </row>
    <row r="234" spans="1:7" x14ac:dyDescent="0.2">
      <c r="A234" s="2">
        <v>39233</v>
      </c>
      <c r="B234">
        <v>2.4792683353361097E-2</v>
      </c>
      <c r="C234" s="3">
        <v>3.2616013056498833E-2</v>
      </c>
      <c r="D234" s="3">
        <v>1.3632981821276395E-2</v>
      </c>
      <c r="E234" s="3">
        <v>3.0700139165614985E-2</v>
      </c>
      <c r="F234" s="3">
        <v>8.7859208494140244E-3</v>
      </c>
      <c r="G234" s="3">
        <v>1.63485743898956E-2</v>
      </c>
    </row>
    <row r="235" spans="1:7" x14ac:dyDescent="0.2">
      <c r="A235" s="2">
        <v>39262</v>
      </c>
      <c r="B235">
        <v>-2.1820837076362062E-3</v>
      </c>
      <c r="C235" s="3">
        <v>-1.1252962319110361E-2</v>
      </c>
      <c r="D235" s="3">
        <v>1.6987641580713444E-2</v>
      </c>
      <c r="E235" s="3">
        <v>2.5261894826991576E-2</v>
      </c>
      <c r="F235" s="3">
        <v>-2.3475788697029324E-3</v>
      </c>
      <c r="G235" s="3">
        <v>3.8279457295650578E-3</v>
      </c>
    </row>
    <row r="236" spans="1:7" x14ac:dyDescent="0.2">
      <c r="A236" s="2">
        <v>39294</v>
      </c>
      <c r="B236">
        <v>-4.4965702000618592E-2</v>
      </c>
      <c r="C236" s="3">
        <v>-5.4357414664562287E-2</v>
      </c>
      <c r="D236" s="3">
        <v>-4.7676779524032382E-2</v>
      </c>
      <c r="E236" s="3">
        <v>-5.9194821663432401E-2</v>
      </c>
      <c r="F236" s="3">
        <v>-5.8594020214830421E-2</v>
      </c>
      <c r="G236" s="3">
        <v>-2.3960621366825571E-2</v>
      </c>
    </row>
  </sheetData>
  <phoneticPr fontId="0" type="noConversion"/>
  <pageMargins left="0.78740157499999996" right="0.78740157499999996" top="0.984251969" bottom="0.984251969" header="0.4921259845" footer="0.492125984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A1:H243"/>
  <sheetViews>
    <sheetView tabSelected="1" workbookViewId="0">
      <selection activeCell="J14" sqref="J14"/>
    </sheetView>
  </sheetViews>
  <sheetFormatPr baseColWidth="10" defaultRowHeight="12.75" x14ac:dyDescent="0.2"/>
  <cols>
    <col min="1" max="5" width="10.7109375" customWidth="1"/>
    <col min="6" max="6" width="13.5703125" customWidth="1"/>
    <col min="7" max="7" width="9.5703125" customWidth="1"/>
    <col min="8" max="8" width="17.140625" customWidth="1"/>
  </cols>
  <sheetData>
    <row r="1" spans="1:8" x14ac:dyDescent="0.2">
      <c r="A1" t="s">
        <v>13</v>
      </c>
      <c r="B1">
        <f>SUM(H9:H243)</f>
        <v>1.0829242390464433E-2</v>
      </c>
      <c r="D1" t="b">
        <v>1</v>
      </c>
    </row>
    <row r="2" spans="1:8" x14ac:dyDescent="0.2">
      <c r="A2" t="s">
        <v>14</v>
      </c>
      <c r="B2">
        <f>SUM(A6:E6)</f>
        <v>1</v>
      </c>
    </row>
    <row r="4" spans="1:8" ht="13.5" thickBot="1" x14ac:dyDescent="0.25">
      <c r="A4" s="5" t="s">
        <v>8</v>
      </c>
    </row>
    <row r="5" spans="1:8" x14ac:dyDescent="0.2">
      <c r="A5" s="11" t="s">
        <v>0</v>
      </c>
      <c r="B5" s="11" t="s">
        <v>7</v>
      </c>
      <c r="C5" s="11" t="s">
        <v>1</v>
      </c>
      <c r="D5" s="11" t="s">
        <v>9</v>
      </c>
      <c r="E5" s="11" t="s">
        <v>3</v>
      </c>
    </row>
    <row r="6" spans="1:8" ht="13.5" customHeight="1" thickBot="1" x14ac:dyDescent="0.25">
      <c r="A6">
        <v>0.44930357677724486</v>
      </c>
      <c r="B6">
        <v>0.15713619982703964</v>
      </c>
      <c r="C6">
        <v>0.10112741522637872</v>
      </c>
      <c r="D6">
        <v>5.0070279952564342E-2</v>
      </c>
      <c r="E6">
        <v>0.24236252821677251</v>
      </c>
    </row>
    <row r="7" spans="1:8" x14ac:dyDescent="0.2">
      <c r="A7" s="11"/>
      <c r="B7" s="11"/>
      <c r="C7" s="11"/>
      <c r="D7" s="11"/>
      <c r="E7" s="11"/>
    </row>
    <row r="8" spans="1:8" x14ac:dyDescent="0.2">
      <c r="A8" t="s">
        <v>0</v>
      </c>
      <c r="B8" t="s">
        <v>7</v>
      </c>
      <c r="C8" t="s">
        <v>1</v>
      </c>
      <c r="D8" t="s">
        <v>9</v>
      </c>
      <c r="E8" t="s">
        <v>3</v>
      </c>
      <c r="F8" t="s">
        <v>10</v>
      </c>
      <c r="G8" t="s">
        <v>11</v>
      </c>
      <c r="H8" t="s">
        <v>12</v>
      </c>
    </row>
    <row r="9" spans="1:8" x14ac:dyDescent="0.2">
      <c r="A9">
        <v>6.7456194333971251E-2</v>
      </c>
      <c r="B9">
        <v>1.9429606120074973E-2</v>
      </c>
      <c r="C9">
        <v>-0.10292654150506736</v>
      </c>
      <c r="D9">
        <v>-0.13855673434834359</v>
      </c>
      <c r="E9">
        <v>8.0675423042751729E-2</v>
      </c>
      <c r="F9">
        <f t="shared" ref="F9:F72" si="0">SUMPRODUCT($A$6:$E$6,$A9:$E9)</f>
        <v>3.5567833774745247E-2</v>
      </c>
      <c r="G9">
        <v>5.0944707588577935E-2</v>
      </c>
      <c r="H9">
        <f t="shared" ref="H9:H72" si="1">(F9-G9)^2</f>
        <v>2.3644824828653345E-4</v>
      </c>
    </row>
    <row r="10" spans="1:8" x14ac:dyDescent="0.2">
      <c r="A10">
        <v>2.4420011471980009E-2</v>
      </c>
      <c r="B10">
        <v>-1.9869138648460068E-2</v>
      </c>
      <c r="C10">
        <v>0.13253852702255148</v>
      </c>
      <c r="D10">
        <v>0.17537016893025503</v>
      </c>
      <c r="E10">
        <v>5.8898335764055988E-2</v>
      </c>
      <c r="F10">
        <f t="shared" si="0"/>
        <v>4.4308699231151903E-2</v>
      </c>
      <c r="G10">
        <v>4.1179174700925678E-2</v>
      </c>
      <c r="H10">
        <f t="shared" si="1"/>
        <v>9.7939237852876784E-6</v>
      </c>
    </row>
    <row r="11" spans="1:8" x14ac:dyDescent="0.2">
      <c r="A11">
        <v>-4.3074957427175778E-2</v>
      </c>
      <c r="B11">
        <v>3.8047577748233072E-2</v>
      </c>
      <c r="C11">
        <v>-8.54093344492215E-3</v>
      </c>
      <c r="D11">
        <v>-6.9356090860451844E-2</v>
      </c>
      <c r="E11">
        <v>6.6412070694854927E-2</v>
      </c>
      <c r="F11">
        <f t="shared" si="0"/>
        <v>-1.6156847125642013E-3</v>
      </c>
      <c r="G11">
        <v>2.2179581539681643E-2</v>
      </c>
      <c r="H11">
        <f t="shared" si="1"/>
        <v>5.6621469601527005E-4</v>
      </c>
    </row>
    <row r="12" spans="1:8" x14ac:dyDescent="0.2">
      <c r="A12">
        <v>1.5813336283334797E-2</v>
      </c>
      <c r="B12">
        <v>3.3503934771787751E-2</v>
      </c>
      <c r="C12">
        <v>-8.6000424769248681E-3</v>
      </c>
      <c r="D12">
        <v>9.0948503458600255E-2</v>
      </c>
      <c r="E12">
        <v>1.9893156303098163E-2</v>
      </c>
      <c r="F12">
        <f t="shared" si="0"/>
        <v>2.0875142160916151E-2</v>
      </c>
      <c r="G12">
        <v>2.0700568670214848E-2</v>
      </c>
      <c r="H12">
        <f t="shared" si="1"/>
        <v>3.0475903655638024E-8</v>
      </c>
    </row>
    <row r="13" spans="1:8" x14ac:dyDescent="0.2">
      <c r="A13">
        <v>4.1874326845790975E-2</v>
      </c>
      <c r="B13">
        <v>4.489037301980324E-3</v>
      </c>
      <c r="C13">
        <v>2.3115819481819056E-2</v>
      </c>
      <c r="D13">
        <v>9.9026316203039672E-2</v>
      </c>
      <c r="E13">
        <v>-1.0027964196119152E-2</v>
      </c>
      <c r="F13">
        <f t="shared" si="0"/>
        <v>2.4385190784022875E-2</v>
      </c>
      <c r="G13">
        <v>1.4645621179298809E-2</v>
      </c>
      <c r="H13">
        <f t="shared" si="1"/>
        <v>9.4859216085264896E-5</v>
      </c>
    </row>
    <row r="14" spans="1:8" x14ac:dyDescent="0.2">
      <c r="A14">
        <v>9.165331425758351E-2</v>
      </c>
      <c r="B14">
        <v>1.3251279746272675E-2</v>
      </c>
      <c r="C14">
        <v>4.9655447982468341E-2</v>
      </c>
      <c r="D14">
        <v>5.8852162836358579E-2</v>
      </c>
      <c r="E14">
        <v>1.0466076106324017E-2</v>
      </c>
      <c r="F14">
        <f t="shared" si="0"/>
        <v>5.3767273702638577E-2</v>
      </c>
      <c r="G14">
        <v>4.6127620022147243E-2</v>
      </c>
      <c r="H14">
        <f t="shared" si="1"/>
        <v>5.8364308357844771E-5</v>
      </c>
    </row>
    <row r="15" spans="1:8" x14ac:dyDescent="0.2">
      <c r="A15">
        <v>1.602764800263403E-2</v>
      </c>
      <c r="B15">
        <v>2.911533840314897E-2</v>
      </c>
      <c r="C15">
        <v>2.9386664261295284E-2</v>
      </c>
      <c r="D15">
        <v>-7.1741500343807229E-3</v>
      </c>
      <c r="E15">
        <v>6.6729354755725265E-2</v>
      </c>
      <c r="F15">
        <f t="shared" si="0"/>
        <v>3.0561634031357771E-2</v>
      </c>
      <c r="G15">
        <v>3.9194394158424378E-2</v>
      </c>
      <c r="H15">
        <f t="shared" si="1"/>
        <v>7.4524547411471058E-5</v>
      </c>
    </row>
    <row r="16" spans="1:8" x14ac:dyDescent="0.2">
      <c r="A16">
        <v>-4.4595714097797667E-2</v>
      </c>
      <c r="B16">
        <v>-8.0082782902569594E-2</v>
      </c>
      <c r="C16">
        <v>-1.6034911341639223E-2</v>
      </c>
      <c r="D16">
        <v>-4.1799763854007806E-2</v>
      </c>
      <c r="E16">
        <v>-8.6126543858524418E-2</v>
      </c>
      <c r="F16">
        <f t="shared" si="0"/>
        <v>-5.7209259961569593E-2</v>
      </c>
      <c r="G16">
        <v>-6.5508639177163278E-2</v>
      </c>
      <c r="H16">
        <f t="shared" si="1"/>
        <v>6.887969536422844E-5</v>
      </c>
    </row>
    <row r="17" spans="1:8" x14ac:dyDescent="0.2">
      <c r="A17">
        <v>1.3739857862976036E-2</v>
      </c>
      <c r="B17">
        <v>1.980035247458008E-2</v>
      </c>
      <c r="C17">
        <v>4.4961778106630955E-2</v>
      </c>
      <c r="D17">
        <v>6.6412731332566519E-2</v>
      </c>
      <c r="E17">
        <v>1.6831280956989606E-2</v>
      </c>
      <c r="F17">
        <f t="shared" si="0"/>
        <v>2.1236163685341959E-2</v>
      </c>
      <c r="G17">
        <v>1.4841417603113964E-2</v>
      </c>
      <c r="H17">
        <f t="shared" si="1"/>
        <v>4.0892777456170291E-5</v>
      </c>
    </row>
    <row r="18" spans="1:8" x14ac:dyDescent="0.2">
      <c r="A18">
        <v>-1.3199770874666996E-2</v>
      </c>
      <c r="B18">
        <v>3.3065573194237405E-2</v>
      </c>
      <c r="C18">
        <v>5.8498717947577369E-2</v>
      </c>
      <c r="D18">
        <v>6.6296622550730114E-2</v>
      </c>
      <c r="E18">
        <v>3.945574595704008E-2</v>
      </c>
      <c r="F18">
        <f t="shared" si="0"/>
        <v>1.8063003184164261E-2</v>
      </c>
      <c r="G18">
        <v>2.2403875223820681E-2</v>
      </c>
      <c r="H18">
        <f t="shared" si="1"/>
        <v>1.8843170064670885E-5</v>
      </c>
    </row>
    <row r="19" spans="1:8" x14ac:dyDescent="0.2">
      <c r="A19">
        <v>-1.7598796030153151E-2</v>
      </c>
      <c r="B19">
        <v>8.9083269062038735E-3</v>
      </c>
      <c r="C19">
        <v>-6.6420151241353151E-3</v>
      </c>
      <c r="D19">
        <v>1.9295345682202869E-2</v>
      </c>
      <c r="E19">
        <v>8.590155525335709E-2</v>
      </c>
      <c r="F19">
        <f t="shared" si="0"/>
        <v>1.4606370281184338E-2</v>
      </c>
      <c r="G19">
        <v>3.3671551475310361E-2</v>
      </c>
      <c r="H19">
        <f t="shared" si="1"/>
        <v>3.6348113396485649E-4</v>
      </c>
    </row>
    <row r="20" spans="1:8" x14ac:dyDescent="0.2">
      <c r="A20">
        <v>5.2037626869950088E-2</v>
      </c>
      <c r="B20">
        <v>1.7796904467029379E-2</v>
      </c>
      <c r="C20">
        <v>6.7021650561021606E-2</v>
      </c>
      <c r="D20">
        <v>7.9091672461165857E-2</v>
      </c>
      <c r="E20">
        <v>4.4309775562700729E-2</v>
      </c>
      <c r="F20">
        <f t="shared" si="0"/>
        <v>4.7654127513884807E-2</v>
      </c>
      <c r="G20">
        <v>4.6278926647166901E-2</v>
      </c>
      <c r="H20">
        <f t="shared" si="1"/>
        <v>1.8911774238216793E-6</v>
      </c>
    </row>
    <row r="21" spans="1:8" x14ac:dyDescent="0.2">
      <c r="A21">
        <v>8.2768248332331693E-2</v>
      </c>
      <c r="B21">
        <v>0.11687259729993112</v>
      </c>
      <c r="C21">
        <v>-3.8028811662548297E-2</v>
      </c>
      <c r="D21">
        <v>2.0476007911783448E-2</v>
      </c>
      <c r="E21">
        <v>1.5009368021157187E-2</v>
      </c>
      <c r="F21">
        <f t="shared" si="0"/>
        <v>5.6370178224364249E-2</v>
      </c>
      <c r="G21">
        <v>4.6327015670517856E-2</v>
      </c>
      <c r="H21">
        <f t="shared" si="1"/>
        <v>1.0086511408298242E-4</v>
      </c>
    </row>
    <row r="22" spans="1:8" x14ac:dyDescent="0.2">
      <c r="A22">
        <v>-2.680222658347409E-2</v>
      </c>
      <c r="B22">
        <v>-2.2431095911750864E-2</v>
      </c>
      <c r="C22">
        <v>6.3444728410491672E-3</v>
      </c>
      <c r="D22">
        <v>-1.6139498209583818E-2</v>
      </c>
      <c r="E22">
        <v>2.5520789001338605E-2</v>
      </c>
      <c r="F22">
        <f t="shared" si="0"/>
        <v>-9.5482995488847255E-3</v>
      </c>
      <c r="G22">
        <v>-1.2220390461730435E-3</v>
      </c>
      <c r="H22">
        <f t="shared" si="1"/>
        <v>6.9326613959016581E-5</v>
      </c>
    </row>
    <row r="23" spans="1:8" x14ac:dyDescent="0.2">
      <c r="A23">
        <v>2.4757710683948081E-2</v>
      </c>
      <c r="B23">
        <v>9.0947293484764918E-3</v>
      </c>
      <c r="C23">
        <v>-1.4904988448137363E-2</v>
      </c>
      <c r="D23">
        <v>1.5083580978927862E-2</v>
      </c>
      <c r="E23">
        <v>-3.030209616246687E-2</v>
      </c>
      <c r="F23">
        <f t="shared" si="0"/>
        <v>4.4566827017488205E-3</v>
      </c>
      <c r="G23">
        <v>-2.4898058626185784E-3</v>
      </c>
      <c r="H23">
        <f t="shared" si="1"/>
        <v>4.8253703374887048E-5</v>
      </c>
    </row>
    <row r="24" spans="1:8" x14ac:dyDescent="0.2">
      <c r="A24">
        <v>9.2014278119807044E-2</v>
      </c>
      <c r="B24">
        <v>5.3267365917917753E-2</v>
      </c>
      <c r="C24">
        <v>8.9335715613460043E-2</v>
      </c>
      <c r="D24">
        <v>7.990252371522541E-2</v>
      </c>
      <c r="E24">
        <v>4.0139196022721951E-2</v>
      </c>
      <c r="F24">
        <f t="shared" si="0"/>
        <v>7.2475844496324771E-2</v>
      </c>
      <c r="G24">
        <v>6.326649371183124E-2</v>
      </c>
      <c r="H24">
        <f t="shared" si="1"/>
        <v>8.4812141871851615E-5</v>
      </c>
    </row>
    <row r="25" spans="1:8" x14ac:dyDescent="0.2">
      <c r="A25">
        <v>5.2850860165141282E-2</v>
      </c>
      <c r="B25">
        <v>-5.7164291304335431E-2</v>
      </c>
      <c r="C25">
        <v>-1.9547917871424694E-2</v>
      </c>
      <c r="D25">
        <v>-1.3772290814873037E-2</v>
      </c>
      <c r="E25">
        <v>-4.0726219012883244E-2</v>
      </c>
      <c r="F25">
        <f t="shared" si="0"/>
        <v>2.2265787378269227E-3</v>
      </c>
      <c r="G25">
        <v>-8.5719339945738819E-3</v>
      </c>
      <c r="H25">
        <f t="shared" si="1"/>
        <v>1.1660787723182229E-4</v>
      </c>
    </row>
    <row r="26" spans="1:8" x14ac:dyDescent="0.2">
      <c r="A26">
        <v>-5.1194567604228608E-2</v>
      </c>
      <c r="B26">
        <v>-3.9306880974230241E-2</v>
      </c>
      <c r="C26">
        <v>2.8212220304052561E-2</v>
      </c>
      <c r="D26">
        <v>-2.4859605963087582E-2</v>
      </c>
      <c r="E26">
        <v>-9.0727342917471018E-2</v>
      </c>
      <c r="F26">
        <f t="shared" si="0"/>
        <v>-4.9559042960293294E-2</v>
      </c>
      <c r="G26">
        <v>-5.7564301219289196E-2</v>
      </c>
      <c r="H26">
        <f t="shared" si="1"/>
        <v>6.4084159793222103E-5</v>
      </c>
    </row>
    <row r="27" spans="1:8" x14ac:dyDescent="0.2">
      <c r="A27">
        <v>0.10038232647360439</v>
      </c>
      <c r="B27">
        <v>0.15338008215072044</v>
      </c>
      <c r="C27">
        <v>0.11092893416611392</v>
      </c>
      <c r="D27">
        <v>0.11959220475465319</v>
      </c>
      <c r="E27">
        <v>0.13962645566066176</v>
      </c>
      <c r="F27">
        <f t="shared" si="0"/>
        <v>0.12024989392624613</v>
      </c>
      <c r="G27">
        <v>0.12089806233299674</v>
      </c>
      <c r="H27">
        <f t="shared" si="1"/>
        <v>4.2012228350962415E-7</v>
      </c>
    </row>
    <row r="28" spans="1:8" x14ac:dyDescent="0.2">
      <c r="A28">
        <v>2.7579373887034807E-2</v>
      </c>
      <c r="B28">
        <v>-1.1012280958680298E-2</v>
      </c>
      <c r="C28">
        <v>1.2520922564366363E-3</v>
      </c>
      <c r="D28">
        <v>7.1036421012889732E-3</v>
      </c>
      <c r="E28">
        <v>-5.6572668877576643E-2</v>
      </c>
      <c r="F28">
        <f t="shared" si="0"/>
        <v>-2.5677095034800403E-3</v>
      </c>
      <c r="G28">
        <v>-1.0840048387070672E-2</v>
      </c>
      <c r="H28">
        <f t="shared" si="1"/>
        <v>6.8431590604965496E-5</v>
      </c>
    </row>
    <row r="29" spans="1:8" x14ac:dyDescent="0.2">
      <c r="A29">
        <v>-4.322508607741557E-2</v>
      </c>
      <c r="B29">
        <v>-4.6604997617560207E-2</v>
      </c>
      <c r="C29">
        <v>3.1177300717875347E-3</v>
      </c>
      <c r="D29">
        <v>1.6692570260648548E-2</v>
      </c>
      <c r="E29">
        <v>2.3123834007789768E-2</v>
      </c>
      <c r="F29">
        <f t="shared" si="0"/>
        <v>-1.9989077477853893E-2</v>
      </c>
      <c r="G29">
        <v>-1.2053329367914449E-2</v>
      </c>
      <c r="H29">
        <f t="shared" si="1"/>
        <v>6.2976098064407453E-5</v>
      </c>
    </row>
    <row r="30" spans="1:8" x14ac:dyDescent="0.2">
      <c r="A30">
        <v>-4.0125769285021054E-2</v>
      </c>
      <c r="B30">
        <v>-0.11694848593030249</v>
      </c>
      <c r="C30">
        <v>-6.3932996875940937E-2</v>
      </c>
      <c r="D30">
        <v>-6.2595580640907658E-2</v>
      </c>
      <c r="E30">
        <v>-4.1269806657602201E-2</v>
      </c>
      <c r="F30">
        <f t="shared" si="0"/>
        <v>-5.6007303964089691E-2</v>
      </c>
      <c r="G30">
        <v>-4.995399073019044E-2</v>
      </c>
      <c r="H30">
        <f t="shared" si="1"/>
        <v>3.6642601107699816E-5</v>
      </c>
    </row>
    <row r="31" spans="1:8" x14ac:dyDescent="0.2">
      <c r="A31">
        <v>-2.4338883540011916E-2</v>
      </c>
      <c r="B31">
        <v>7.0022071653357198E-3</v>
      </c>
      <c r="C31">
        <v>5.4334774200359079E-2</v>
      </c>
      <c r="D31">
        <v>1.7537822456737531E-2</v>
      </c>
      <c r="E31">
        <v>7.452870689214108E-3</v>
      </c>
      <c r="F31">
        <f t="shared" si="0"/>
        <v>-1.6560916702605718E-3</v>
      </c>
      <c r="G31">
        <v>-4.4303480598659566E-3</v>
      </c>
      <c r="H31">
        <f t="shared" si="1"/>
        <v>7.6964985152663026E-6</v>
      </c>
    </row>
    <row r="32" spans="1:8" x14ac:dyDescent="0.2">
      <c r="A32">
        <v>-1.0143721962593923E-2</v>
      </c>
      <c r="B32">
        <v>6.3628763286558268E-2</v>
      </c>
      <c r="C32">
        <v>0.15299361437728862</v>
      </c>
      <c r="D32">
        <v>8.1462272784524933E-2</v>
      </c>
      <c r="E32">
        <v>-3.1840292722968067E-2</v>
      </c>
      <c r="F32">
        <f t="shared" si="0"/>
        <v>1.7274565231425894E-2</v>
      </c>
      <c r="G32">
        <v>3.604623682863936E-4</v>
      </c>
      <c r="H32">
        <f t="shared" si="1"/>
        <v>2.8608687566486387E-4</v>
      </c>
    </row>
    <row r="33" spans="1:8" x14ac:dyDescent="0.2">
      <c r="A33">
        <v>-8.3355908519538988E-2</v>
      </c>
      <c r="B33">
        <v>-9.5753050560108358E-3</v>
      </c>
      <c r="C33">
        <v>1.4844241513063784E-2</v>
      </c>
      <c r="D33">
        <v>-6.6737368119182822E-2</v>
      </c>
      <c r="E33">
        <v>-7.5654509714621856E-2</v>
      </c>
      <c r="F33">
        <f t="shared" si="0"/>
        <v>-5.9132952067280573E-2</v>
      </c>
      <c r="G33">
        <v>-6.2803981758872737E-2</v>
      </c>
      <c r="H33">
        <f t="shared" si="1"/>
        <v>1.3476458996551265E-5</v>
      </c>
    </row>
    <row r="34" spans="1:8" x14ac:dyDescent="0.2">
      <c r="A34">
        <v>2.9197033712149878E-2</v>
      </c>
      <c r="B34">
        <v>-1.3319994522216137E-2</v>
      </c>
      <c r="C34">
        <v>-4.3807795186780454E-3</v>
      </c>
      <c r="D34">
        <v>-9.72228643544144E-3</v>
      </c>
      <c r="E34">
        <v>-9.2084896176089795E-2</v>
      </c>
      <c r="F34">
        <f t="shared" si="0"/>
        <v>-1.2222464403601561E-2</v>
      </c>
      <c r="G34">
        <v>-2.8177035175081831E-2</v>
      </c>
      <c r="H34">
        <f t="shared" si="1"/>
        <v>2.5454832850217252E-4</v>
      </c>
    </row>
    <row r="35" spans="1:8" x14ac:dyDescent="0.2">
      <c r="A35">
        <v>7.6341059103789558E-3</v>
      </c>
      <c r="B35">
        <v>-4.5287273989584251E-2</v>
      </c>
      <c r="C35">
        <v>7.7992867014930661E-2</v>
      </c>
      <c r="D35">
        <v>4.8899492894987906E-2</v>
      </c>
      <c r="E35">
        <v>-0.22882443762147495</v>
      </c>
      <c r="F35">
        <f t="shared" si="0"/>
        <v>-4.8809079917836354E-2</v>
      </c>
      <c r="G35">
        <v>-7.7043341908653667E-2</v>
      </c>
      <c r="H35">
        <f t="shared" si="1"/>
        <v>7.9717355016611121E-4</v>
      </c>
    </row>
    <row r="36" spans="1:8" x14ac:dyDescent="0.2">
      <c r="A36">
        <v>-4.000439423759878E-2</v>
      </c>
      <c r="B36">
        <v>-8.6146876177147433E-2</v>
      </c>
      <c r="C36">
        <v>-8.8996219667503484E-2</v>
      </c>
      <c r="D36">
        <v>3.9696364780664829E-2</v>
      </c>
      <c r="E36">
        <v>-4.2863239877901499E-3</v>
      </c>
      <c r="F36">
        <f t="shared" si="0"/>
        <v>-3.9562104047871263E-2</v>
      </c>
      <c r="G36">
        <v>-3.2900545824671806E-2</v>
      </c>
      <c r="H36">
        <f t="shared" si="1"/>
        <v>4.4376357961076304E-5</v>
      </c>
    </row>
    <row r="37" spans="1:8" x14ac:dyDescent="0.2">
      <c r="A37">
        <v>9.2413231820584182E-2</v>
      </c>
      <c r="B37">
        <v>0.14253180207170735</v>
      </c>
      <c r="C37">
        <v>1.7289712097984151E-2</v>
      </c>
      <c r="D37">
        <v>2.533776300967391E-2</v>
      </c>
      <c r="E37">
        <v>0.14015685248671877</v>
      </c>
      <c r="F37">
        <f t="shared" si="0"/>
        <v>0.10090440322791094</v>
      </c>
      <c r="G37">
        <v>0.10509380559481635</v>
      </c>
      <c r="H37">
        <f t="shared" si="1"/>
        <v>1.75510921918326E-5</v>
      </c>
    </row>
    <row r="38" spans="1:8" x14ac:dyDescent="0.2">
      <c r="A38">
        <v>-3.7084413359934218E-2</v>
      </c>
      <c r="B38">
        <v>2.4043937390053539E-2</v>
      </c>
      <c r="C38">
        <v>1.0215250890025456E-2</v>
      </c>
      <c r="D38">
        <v>-4.7044766668001128E-2</v>
      </c>
      <c r="E38">
        <v>-7.8826214576818487E-2</v>
      </c>
      <c r="F38">
        <f t="shared" si="0"/>
        <v>-3.3311009988520185E-2</v>
      </c>
      <c r="G38">
        <v>-3.9609783603166838E-2</v>
      </c>
      <c r="H38">
        <f t="shared" si="1"/>
        <v>3.9674549048568871E-5</v>
      </c>
    </row>
    <row r="39" spans="1:8" x14ac:dyDescent="0.2">
      <c r="A39">
        <v>-4.9285889015801922E-2</v>
      </c>
      <c r="B39">
        <v>-5.9348132894106878E-3</v>
      </c>
      <c r="C39">
        <v>2.3907438215218468E-2</v>
      </c>
      <c r="D39">
        <v>-3.7397063186978434E-2</v>
      </c>
      <c r="E39">
        <v>-5.8973839329851965E-2</v>
      </c>
      <c r="F39">
        <f t="shared" si="0"/>
        <v>-3.6824733016846148E-2</v>
      </c>
      <c r="G39">
        <v>-3.7767153817837525E-2</v>
      </c>
      <c r="H39">
        <f t="shared" si="1"/>
        <v>8.8815696614122812E-7</v>
      </c>
    </row>
    <row r="40" spans="1:8" x14ac:dyDescent="0.2">
      <c r="A40">
        <v>-9.7313208677118096E-2</v>
      </c>
      <c r="B40">
        <v>-5.6466746279164273E-2</v>
      </c>
      <c r="C40">
        <v>-0.160695252942853</v>
      </c>
      <c r="D40">
        <v>-0.13640988897632306</v>
      </c>
      <c r="E40">
        <v>-0.10115483175808059</v>
      </c>
      <c r="F40">
        <f t="shared" si="0"/>
        <v>-0.10019306031803835</v>
      </c>
      <c r="G40">
        <v>-9.8686545162540718E-2</v>
      </c>
      <c r="H40">
        <f t="shared" si="1"/>
        <v>2.2695879137440443E-6</v>
      </c>
    </row>
    <row r="41" spans="1:8" x14ac:dyDescent="0.2">
      <c r="A41">
        <v>-8.0460777629554961E-2</v>
      </c>
      <c r="B41">
        <v>-0.12651002137922479</v>
      </c>
      <c r="C41">
        <v>-0.22593345754397073</v>
      </c>
      <c r="D41">
        <v>-0.14311478851452897</v>
      </c>
      <c r="E41">
        <v>-0.20901529912549038</v>
      </c>
      <c r="F41">
        <f t="shared" si="0"/>
        <v>-0.13670195961170034</v>
      </c>
      <c r="G41">
        <v>-0.14351542101832582</v>
      </c>
      <c r="H41">
        <f t="shared" si="1"/>
        <v>4.642325633957481E-5</v>
      </c>
    </row>
    <row r="42" spans="1:8" x14ac:dyDescent="0.2">
      <c r="A42">
        <v>-2.6335672613323039E-2</v>
      </c>
      <c r="B42">
        <v>5.4075657250549213E-2</v>
      </c>
      <c r="C42">
        <v>9.9925940312263067E-2</v>
      </c>
      <c r="D42">
        <v>8.2779812890507232E-2</v>
      </c>
      <c r="E42">
        <v>0.19661849146358057</v>
      </c>
      <c r="F42">
        <f t="shared" si="0"/>
        <v>5.8567546530474676E-2</v>
      </c>
      <c r="G42">
        <v>6.7112219360834544E-2</v>
      </c>
      <c r="H42">
        <f t="shared" si="1"/>
        <v>7.3011433777890109E-5</v>
      </c>
    </row>
    <row r="43" spans="1:8" x14ac:dyDescent="0.2">
      <c r="A43">
        <v>7.2293744774961394E-2</v>
      </c>
      <c r="B43">
        <v>6.1263761632530313E-2</v>
      </c>
      <c r="C43">
        <v>2.9920023091645799E-2</v>
      </c>
      <c r="D43">
        <v>-4.8610357451832266E-4</v>
      </c>
      <c r="E43">
        <v>-0.1167963318086524</v>
      </c>
      <c r="F43">
        <f t="shared" si="0"/>
        <v>1.6802933789176407E-2</v>
      </c>
      <c r="G43">
        <v>-7.0240080783311827E-3</v>
      </c>
      <c r="H43">
        <f t="shared" si="1"/>
        <v>5.6772315875758608E-4</v>
      </c>
    </row>
    <row r="44" spans="1:8" x14ac:dyDescent="0.2">
      <c r="A44">
        <v>2.6863739215261952E-2</v>
      </c>
      <c r="B44">
        <v>-8.4159961421932435E-3</v>
      </c>
      <c r="C44">
        <v>-3.5968726502632595E-2</v>
      </c>
      <c r="D44">
        <v>-4.9005100218930613E-2</v>
      </c>
      <c r="E44">
        <v>4.7905616289591044E-2</v>
      </c>
      <c r="F44">
        <f t="shared" si="0"/>
        <v>1.6266919315951839E-2</v>
      </c>
      <c r="G44">
        <v>2.1030125668923254E-2</v>
      </c>
      <c r="H44">
        <f t="shared" si="1"/>
        <v>2.2688134760987248E-5</v>
      </c>
    </row>
    <row r="45" spans="1:8" x14ac:dyDescent="0.2">
      <c r="A45">
        <v>2.6912381741093176E-2</v>
      </c>
      <c r="B45">
        <v>1.6981521848974862E-2</v>
      </c>
      <c r="C45">
        <v>8.2481168339460457E-3</v>
      </c>
      <c r="D45">
        <v>1.9569796643799452E-2</v>
      </c>
      <c r="E45">
        <v>1.0758757075110146E-2</v>
      </c>
      <c r="F45">
        <f t="shared" si="0"/>
        <v>1.9181736684161253E-2</v>
      </c>
      <c r="G45">
        <v>1.7019849785870903E-2</v>
      </c>
      <c r="H45">
        <f t="shared" si="1"/>
        <v>4.6737549609994702E-6</v>
      </c>
    </row>
    <row r="46" spans="1:8" x14ac:dyDescent="0.2">
      <c r="A46">
        <v>0.14891465069559504</v>
      </c>
      <c r="B46">
        <v>0.15962239759019159</v>
      </c>
      <c r="C46">
        <v>0.15099580329101073</v>
      </c>
      <c r="D46">
        <v>0.17423468867061817</v>
      </c>
      <c r="E46">
        <v>0.20307657461093809</v>
      </c>
      <c r="F46">
        <f t="shared" si="0"/>
        <v>0.16520228913701376</v>
      </c>
      <c r="G46">
        <v>0.17134700594419355</v>
      </c>
      <c r="H46">
        <f t="shared" si="1"/>
        <v>3.7757544640437789E-5</v>
      </c>
    </row>
    <row r="47" spans="1:8" x14ac:dyDescent="0.2">
      <c r="A47">
        <v>7.338506848051303E-2</v>
      </c>
      <c r="B47">
        <v>-5.0387994608437322E-3</v>
      </c>
      <c r="C47">
        <v>-9.356643257257026E-2</v>
      </c>
      <c r="D47">
        <v>-2.5461997372090258E-2</v>
      </c>
      <c r="E47">
        <v>-1.2715584199762119E-2</v>
      </c>
      <c r="F47">
        <f t="shared" si="0"/>
        <v>1.8361594002373152E-2</v>
      </c>
      <c r="G47">
        <v>2.0104400880033443E-2</v>
      </c>
      <c r="H47">
        <f t="shared" si="1"/>
        <v>3.0373758128200133E-6</v>
      </c>
    </row>
    <row r="48" spans="1:8" x14ac:dyDescent="0.2">
      <c r="A48">
        <v>1.4550669810924561E-2</v>
      </c>
      <c r="B48">
        <v>-2.8687580319623042E-3</v>
      </c>
      <c r="C48">
        <v>4.5936547503021216E-2</v>
      </c>
      <c r="D48">
        <v>-1.5961141114454902E-2</v>
      </c>
      <c r="E48">
        <v>3.7432353534715766E-2</v>
      </c>
      <c r="F48">
        <f t="shared" si="0"/>
        <v>1.9005347604406135E-2</v>
      </c>
      <c r="G48">
        <v>1.9183696360281763E-2</v>
      </c>
      <c r="H48">
        <f t="shared" si="1"/>
        <v>3.1808278722384266E-8</v>
      </c>
    </row>
    <row r="49" spans="1:8" x14ac:dyDescent="0.2">
      <c r="A49">
        <v>7.4808900499597153E-2</v>
      </c>
      <c r="B49">
        <v>4.0148065980135234E-2</v>
      </c>
      <c r="C49">
        <v>9.7797302406311418E-2</v>
      </c>
      <c r="D49">
        <v>7.2506595048165326E-2</v>
      </c>
      <c r="E49">
        <v>3.1544960405072875E-2</v>
      </c>
      <c r="F49">
        <f t="shared" si="0"/>
        <v>6.1086351364968802E-2</v>
      </c>
      <c r="G49">
        <v>5.7149201824865034E-2</v>
      </c>
      <c r="H49">
        <f t="shared" si="1"/>
        <v>1.5501146501139314E-5</v>
      </c>
    </row>
    <row r="50" spans="1:8" x14ac:dyDescent="0.2">
      <c r="A50">
        <v>-4.8275783821020962E-2</v>
      </c>
      <c r="B50">
        <v>-9.00389592529625E-2</v>
      </c>
      <c r="C50">
        <v>-9.8132187319452321E-2</v>
      </c>
      <c r="D50">
        <v>-0.10084512779127003</v>
      </c>
      <c r="E50">
        <v>-7.3896904692101348E-2</v>
      </c>
      <c r="F50">
        <f t="shared" si="0"/>
        <v>-6.8721901118961565E-2</v>
      </c>
      <c r="G50">
        <v>-6.4370222673823335E-2</v>
      </c>
      <c r="H50">
        <f t="shared" si="1"/>
        <v>1.8937105289880677E-5</v>
      </c>
    </row>
    <row r="51" spans="1:8" x14ac:dyDescent="0.2">
      <c r="A51">
        <v>2.0951249229775114E-2</v>
      </c>
      <c r="B51">
        <v>8.5326723340775845E-2</v>
      </c>
      <c r="C51">
        <v>9.1413729267369355E-3</v>
      </c>
      <c r="D51">
        <v>1.8323037133162714E-2</v>
      </c>
      <c r="E51">
        <v>7.7008987166694472E-3</v>
      </c>
      <c r="F51">
        <f t="shared" si="0"/>
        <v>2.6529680563405437E-2</v>
      </c>
      <c r="G51">
        <v>2.1990420938901259E-2</v>
      </c>
      <c r="H51">
        <f t="shared" si="1"/>
        <v>2.0604877938653811E-5</v>
      </c>
    </row>
    <row r="52" spans="1:8" x14ac:dyDescent="0.2">
      <c r="A52">
        <v>-6.5701989773915359E-3</v>
      </c>
      <c r="B52">
        <v>-5.5880322972484877E-3</v>
      </c>
      <c r="C52">
        <v>-1.6756323449084197E-2</v>
      </c>
      <c r="D52">
        <v>3.0495021363988538E-2</v>
      </c>
      <c r="E52">
        <v>-8.5329784948312823E-2</v>
      </c>
      <c r="F52">
        <f t="shared" si="0"/>
        <v>-2.467846789489591E-2</v>
      </c>
      <c r="G52">
        <v>-3.3081336713605372E-2</v>
      </c>
      <c r="H52">
        <f t="shared" si="1"/>
        <v>7.0608204384439751E-5</v>
      </c>
    </row>
    <row r="53" spans="1:8" x14ac:dyDescent="0.2">
      <c r="A53">
        <v>-2.1039349092666484E-2</v>
      </c>
      <c r="B53">
        <v>3.2822739136474835E-2</v>
      </c>
      <c r="C53">
        <v>1.8724510014812699E-2</v>
      </c>
      <c r="D53">
        <v>5.5011275095923212E-2</v>
      </c>
      <c r="E53">
        <v>8.1903785065322018E-2</v>
      </c>
      <c r="F53">
        <f t="shared" si="0"/>
        <v>2.0202985358153208E-2</v>
      </c>
      <c r="G53">
        <v>2.264595097203739E-2</v>
      </c>
      <c r="H53">
        <f t="shared" si="1"/>
        <v>5.9680809906205155E-6</v>
      </c>
    </row>
    <row r="54" spans="1:8" x14ac:dyDescent="0.2">
      <c r="A54">
        <v>-2.3593679424833661E-2</v>
      </c>
      <c r="B54">
        <v>-6.681891542841735E-2</v>
      </c>
      <c r="C54">
        <v>-6.2979240685470533E-2</v>
      </c>
      <c r="D54">
        <v>-5.5436420510764785E-2</v>
      </c>
      <c r="E54">
        <v>3.683304432423385E-3</v>
      </c>
      <c r="F54">
        <f t="shared" si="0"/>
        <v>-2.9352344945448822E-2</v>
      </c>
      <c r="G54">
        <v>-2.3910758422983333E-2</v>
      </c>
      <c r="H54">
        <f t="shared" si="1"/>
        <v>2.9610863881478057E-5</v>
      </c>
    </row>
    <row r="55" spans="1:8" x14ac:dyDescent="0.2">
      <c r="A55">
        <v>-7.6209837332256836E-2</v>
      </c>
      <c r="B55">
        <v>-8.3910069729437375E-2</v>
      </c>
      <c r="C55">
        <v>-1.8022303528748604E-2</v>
      </c>
      <c r="D55">
        <v>-5.9614747133308915E-2</v>
      </c>
      <c r="E55">
        <v>-0.10604519048628193</v>
      </c>
      <c r="F55">
        <f t="shared" si="0"/>
        <v>-7.7935518505538925E-2</v>
      </c>
      <c r="G55">
        <v>-7.8829701058148974E-2</v>
      </c>
      <c r="H55">
        <f t="shared" si="1"/>
        <v>7.9956243739222183E-7</v>
      </c>
    </row>
    <row r="56" spans="1:8" x14ac:dyDescent="0.2">
      <c r="A56">
        <v>0.11274641175917162</v>
      </c>
      <c r="B56">
        <v>8.5793379007635895E-2</v>
      </c>
      <c r="C56">
        <v>7.5995933612899566E-2</v>
      </c>
      <c r="D56">
        <v>8.9931458291372918E-2</v>
      </c>
      <c r="E56">
        <v>3.7615769562334027E-2</v>
      </c>
      <c r="F56">
        <f t="shared" si="0"/>
        <v>8.5443430258902858E-2</v>
      </c>
      <c r="G56">
        <v>7.537268247542625E-2</v>
      </c>
      <c r="H56">
        <f t="shared" si="1"/>
        <v>1.0141996091839901E-4</v>
      </c>
    </row>
    <row r="57" spans="1:8" x14ac:dyDescent="0.2">
      <c r="A57">
        <v>2.5370218772745893E-3</v>
      </c>
      <c r="B57">
        <v>8.6219842985651302E-3</v>
      </c>
      <c r="C57">
        <v>2.7154627414078612E-2</v>
      </c>
      <c r="D57">
        <v>2.3449427894263297E-2</v>
      </c>
      <c r="E57">
        <v>-2.6166748028454184E-2</v>
      </c>
      <c r="F57">
        <f t="shared" si="0"/>
        <v>7.3076345293487423E-5</v>
      </c>
      <c r="G57">
        <v>1.2502202171188956E-3</v>
      </c>
      <c r="H57">
        <f t="shared" si="1"/>
        <v>1.385667694976113E-6</v>
      </c>
    </row>
    <row r="58" spans="1:8" x14ac:dyDescent="0.2">
      <c r="A58">
        <v>3.5302992178229797E-2</v>
      </c>
      <c r="B58">
        <v>1.1983720271929215E-2</v>
      </c>
      <c r="C58">
        <v>4.9574286052117514E-2</v>
      </c>
      <c r="D58">
        <v>6.4495332769220648E-2</v>
      </c>
      <c r="E58">
        <v>-6.1410516849410408E-2</v>
      </c>
      <c r="F58">
        <f t="shared" si="0"/>
        <v>1.1103847574749586E-2</v>
      </c>
      <c r="G58">
        <v>7.0327552654357141E-3</v>
      </c>
      <c r="H58">
        <f t="shared" si="1"/>
        <v>1.6573792590954557E-5</v>
      </c>
    </row>
    <row r="59" spans="1:8" x14ac:dyDescent="0.2">
      <c r="A59">
        <v>-3.0203669538582528E-2</v>
      </c>
      <c r="B59">
        <v>-7.0646837283446881E-2</v>
      </c>
      <c r="C59">
        <v>-3.2625818269083298E-2</v>
      </c>
      <c r="D59">
        <v>-2.2253685570394935E-2</v>
      </c>
      <c r="E59">
        <v>-0.1244612497161706</v>
      </c>
      <c r="F59">
        <f t="shared" si="0"/>
        <v>-5.9250148379917253E-2</v>
      </c>
      <c r="G59">
        <v>-5.9330004796231101E-2</v>
      </c>
      <c r="H59">
        <f t="shared" si="1"/>
        <v>6.3770472264905542E-9</v>
      </c>
    </row>
    <row r="60" spans="1:8" x14ac:dyDescent="0.2">
      <c r="A60">
        <v>7.0366675859231233E-3</v>
      </c>
      <c r="B60">
        <v>9.0698873189313106E-2</v>
      </c>
      <c r="C60">
        <v>-2.529964677276559E-2</v>
      </c>
      <c r="D60">
        <v>2.9810976038752299E-2</v>
      </c>
      <c r="E60">
        <v>-8.3524408733420069E-2</v>
      </c>
      <c r="F60">
        <f t="shared" si="0"/>
        <v>-3.8953546602824331E-3</v>
      </c>
      <c r="G60">
        <v>-7.4918041306703178E-3</v>
      </c>
      <c r="H60">
        <f t="shared" si="1"/>
        <v>1.2934448793053297E-5</v>
      </c>
    </row>
    <row r="61" spans="1:8" x14ac:dyDescent="0.2">
      <c r="A61">
        <v>-2.7439084514488322E-2</v>
      </c>
      <c r="B61">
        <v>2.352822779487343E-2</v>
      </c>
      <c r="C61">
        <v>3.1023257863906514E-2</v>
      </c>
      <c r="D61">
        <v>1.110663413005619E-2</v>
      </c>
      <c r="E61">
        <v>4.7258142291697135E-2</v>
      </c>
      <c r="F61">
        <f t="shared" si="0"/>
        <v>6.5156744930432347E-3</v>
      </c>
      <c r="G61">
        <v>7.9890822659520917E-3</v>
      </c>
      <c r="H61">
        <f t="shared" si="1"/>
        <v>2.1709304652682381E-6</v>
      </c>
    </row>
    <row r="62" spans="1:8" x14ac:dyDescent="0.2">
      <c r="A62">
        <v>-6.6670547421146809E-2</v>
      </c>
      <c r="B62">
        <v>-9.0515492867383862E-2</v>
      </c>
      <c r="C62">
        <v>-3.2860086698461015E-2</v>
      </c>
      <c r="D62">
        <v>-6.4497701287721115E-2</v>
      </c>
      <c r="E62">
        <v>-0.14537410079240434</v>
      </c>
      <c r="F62">
        <f t="shared" si="0"/>
        <v>-8.5964284193660562E-2</v>
      </c>
      <c r="G62">
        <v>-8.4894694907510865E-2</v>
      </c>
      <c r="H62">
        <f t="shared" si="1"/>
        <v>1.1440212410462184E-6</v>
      </c>
    </row>
    <row r="63" spans="1:8" x14ac:dyDescent="0.2">
      <c r="A63">
        <v>1.2859766406133516E-2</v>
      </c>
      <c r="B63">
        <v>-6.7127050455431825E-2</v>
      </c>
      <c r="C63">
        <v>-8.337896506092482E-2</v>
      </c>
      <c r="D63">
        <v>-6.9815698208697069E-2</v>
      </c>
      <c r="E63">
        <v>-3.7796885919074374E-2</v>
      </c>
      <c r="F63">
        <f t="shared" si="0"/>
        <v>-2.5858290176691737E-2</v>
      </c>
      <c r="G63">
        <v>-2.5074683675657499E-2</v>
      </c>
      <c r="H63">
        <f t="shared" si="1"/>
        <v>6.1403914846312065E-7</v>
      </c>
    </row>
    <row r="64" spans="1:8" x14ac:dyDescent="0.2">
      <c r="A64">
        <v>-3.9493273633025511E-3</v>
      </c>
      <c r="B64">
        <v>1.6938647716302473E-2</v>
      </c>
      <c r="C64">
        <v>2.0501924616835299E-2</v>
      </c>
      <c r="D64">
        <v>3.0464192141534997E-2</v>
      </c>
      <c r="E64">
        <v>0.1852835736411913</v>
      </c>
      <c r="F64">
        <f t="shared" si="0"/>
        <v>4.9391680439592314E-2</v>
      </c>
      <c r="G64">
        <v>4.4769446450383249E-2</v>
      </c>
      <c r="H64">
        <f t="shared" si="1"/>
        <v>2.136504705099955E-5</v>
      </c>
    </row>
    <row r="65" spans="1:8" x14ac:dyDescent="0.2">
      <c r="A65">
        <v>4.9054638565347725E-2</v>
      </c>
      <c r="B65">
        <v>1.9482367799613518E-2</v>
      </c>
      <c r="C65">
        <v>-5.6696480515859387E-4</v>
      </c>
      <c r="D65">
        <v>7.0312801243373871E-2</v>
      </c>
      <c r="E65">
        <v>1.5797594601687177E-2</v>
      </c>
      <c r="F65">
        <f t="shared" si="0"/>
        <v>3.2393800729232931E-2</v>
      </c>
      <c r="G65">
        <v>2.9460797547295237E-2</v>
      </c>
      <c r="H65">
        <f t="shared" si="1"/>
        <v>8.6025076652566378E-6</v>
      </c>
    </row>
    <row r="66" spans="1:8" x14ac:dyDescent="0.2">
      <c r="A66">
        <v>6.7017669642766189E-2</v>
      </c>
      <c r="B66">
        <v>-2.2775645485944341E-2</v>
      </c>
      <c r="C66">
        <v>-1.029428920404791E-2</v>
      </c>
      <c r="D66">
        <v>-2.4649978395835544E-2</v>
      </c>
      <c r="E66">
        <v>1.5198781690833047E-2</v>
      </c>
      <c r="F66">
        <f t="shared" si="0"/>
        <v>2.7940749276004227E-2</v>
      </c>
      <c r="G66">
        <v>3.3940081628878488E-2</v>
      </c>
      <c r="H66">
        <f t="shared" si="1"/>
        <v>3.5991988680243809E-5</v>
      </c>
    </row>
    <row r="67" spans="1:8" x14ac:dyDescent="0.2">
      <c r="A67">
        <v>2.963332361175618E-2</v>
      </c>
      <c r="B67">
        <v>9.0516905752194461E-3</v>
      </c>
      <c r="C67">
        <v>-8.5717938235325385E-3</v>
      </c>
      <c r="D67">
        <v>-1.9144446039184478E-2</v>
      </c>
      <c r="E67">
        <v>2.4188927541748714E-2</v>
      </c>
      <c r="F67">
        <f t="shared" si="0"/>
        <v>1.8773785057484376E-2</v>
      </c>
      <c r="G67">
        <v>1.5121122526482855E-2</v>
      </c>
      <c r="H67">
        <f t="shared" si="1"/>
        <v>1.3341943565382442E-5</v>
      </c>
    </row>
    <row r="68" spans="1:8" x14ac:dyDescent="0.2">
      <c r="A68">
        <v>2.7890976859736426E-2</v>
      </c>
      <c r="B68">
        <v>5.7955371639341377E-2</v>
      </c>
      <c r="C68">
        <v>1.5781948184140006E-3</v>
      </c>
      <c r="D68">
        <v>4.3269071217464594E-2</v>
      </c>
      <c r="E68">
        <v>3.7617786965129314E-3</v>
      </c>
      <c r="F68">
        <f t="shared" si="0"/>
        <v>2.4876209989195475E-2</v>
      </c>
      <c r="G68">
        <v>2.5435412489115263E-2</v>
      </c>
      <c r="H68">
        <f t="shared" si="1"/>
        <v>3.1270743591654032E-7</v>
      </c>
    </row>
    <row r="69" spans="1:8" x14ac:dyDescent="0.2">
      <c r="A69">
        <v>3.1010977103256315E-2</v>
      </c>
      <c r="B69">
        <v>-2.4595622449377272E-4</v>
      </c>
      <c r="C69">
        <v>5.5215693152885749E-2</v>
      </c>
      <c r="D69">
        <v>-2.9700959749344512E-3</v>
      </c>
      <c r="E69">
        <v>2.0656620905952508E-2</v>
      </c>
      <c r="F69">
        <f t="shared" si="0"/>
        <v>2.4336191964124877E-2</v>
      </c>
      <c r="G69">
        <v>2.6017301697245934E-2</v>
      </c>
      <c r="H69">
        <f t="shared" si="1"/>
        <v>2.8261299347943516E-6</v>
      </c>
    </row>
    <row r="70" spans="1:8" x14ac:dyDescent="0.2">
      <c r="A70">
        <v>1.5633541513935895E-2</v>
      </c>
      <c r="B70">
        <v>-2.2498458579875882E-2</v>
      </c>
      <c r="C70">
        <v>5.3687427797089418E-2</v>
      </c>
      <c r="D70">
        <v>8.6822668457982421E-2</v>
      </c>
      <c r="E70">
        <v>4.6594616308641437E-2</v>
      </c>
      <c r="F70">
        <f t="shared" si="0"/>
        <v>2.4558178965744332E-2</v>
      </c>
      <c r="G70">
        <v>2.6451509306779773E-2</v>
      </c>
      <c r="H70">
        <f t="shared" si="1"/>
        <v>3.5846997802853813E-6</v>
      </c>
    </row>
    <row r="71" spans="1:8" x14ac:dyDescent="0.2">
      <c r="A71">
        <v>-1.6522132410940138E-2</v>
      </c>
      <c r="B71">
        <v>3.3425962063581081E-2</v>
      </c>
      <c r="C71">
        <v>-8.0906035343694341E-3</v>
      </c>
      <c r="D71">
        <v>8.9087654761181578E-3</v>
      </c>
      <c r="E71">
        <v>9.6372919327626066E-2</v>
      </c>
      <c r="F71">
        <f t="shared" si="0"/>
        <v>2.0814042404254579E-2</v>
      </c>
      <c r="G71">
        <v>1.9953911652708049E-2</v>
      </c>
      <c r="H71">
        <f t="shared" si="1"/>
        <v>7.3982490975599939E-7</v>
      </c>
    </row>
    <row r="72" spans="1:8" x14ac:dyDescent="0.2">
      <c r="A72">
        <v>-2.2207991845033848E-2</v>
      </c>
      <c r="B72">
        <v>2.8848924368408614E-2</v>
      </c>
      <c r="C72">
        <v>-1.2834047900776463E-2</v>
      </c>
      <c r="D72">
        <v>-1.3418365732594216E-2</v>
      </c>
      <c r="E72">
        <v>0.16551235701302441</v>
      </c>
      <c r="F72">
        <f t="shared" si="0"/>
        <v>3.2699338052295523E-2</v>
      </c>
      <c r="G72">
        <v>4.6026972798574525E-2</v>
      </c>
      <c r="H72">
        <f t="shared" si="1"/>
        <v>1.7762584793022334E-4</v>
      </c>
    </row>
    <row r="73" spans="1:8" x14ac:dyDescent="0.2">
      <c r="A73">
        <v>5.1676668451886586E-2</v>
      </c>
      <c r="B73">
        <v>3.3224562784945733E-2</v>
      </c>
      <c r="C73">
        <v>2.4668725991526776E-2</v>
      </c>
      <c r="D73">
        <v>1.0852144104177798E-3</v>
      </c>
      <c r="E73">
        <v>5.5389363457867685E-2</v>
      </c>
      <c r="F73">
        <f t="shared" ref="F73:F136" si="2">SUMPRODUCT($A$6:$E$6,$A73:$E73)</f>
        <v>4.44126211580613E-2</v>
      </c>
      <c r="G73">
        <v>4.9838253313452013E-2</v>
      </c>
      <c r="H73">
        <f t="shared" ref="H73:H136" si="3">(F73-G73)^2</f>
        <v>2.9437484285609684E-5</v>
      </c>
    </row>
    <row r="74" spans="1:8" x14ac:dyDescent="0.2">
      <c r="A74">
        <v>4.2322588625637758E-2</v>
      </c>
      <c r="B74">
        <v>2.8463046216191987E-2</v>
      </c>
      <c r="C74">
        <v>6.5479417743896755E-3</v>
      </c>
      <c r="D74">
        <v>2.5140140793755199E-2</v>
      </c>
      <c r="E74">
        <v>2.7011845288464245E-2</v>
      </c>
      <c r="F74">
        <f t="shared" si="2"/>
        <v>3.1955874796084367E-2</v>
      </c>
      <c r="G74">
        <v>3.1400488086297335E-2</v>
      </c>
      <c r="H74">
        <f t="shared" si="3"/>
        <v>3.0845439740806569E-7</v>
      </c>
    </row>
    <row r="75" spans="1:8" x14ac:dyDescent="0.2">
      <c r="A75">
        <v>4.2064679794321684E-3</v>
      </c>
      <c r="B75">
        <v>2.0707122497185585E-3</v>
      </c>
      <c r="C75">
        <v>3.889880363257165E-2</v>
      </c>
      <c r="D75">
        <v>1.8514680855864576E-2</v>
      </c>
      <c r="E75">
        <v>6.8489442569763442E-2</v>
      </c>
      <c r="F75">
        <f t="shared" si="2"/>
        <v>2.3675410140425176E-2</v>
      </c>
      <c r="G75">
        <v>2.6349836804863202E-2</v>
      </c>
      <c r="H75">
        <f t="shared" si="3"/>
        <v>7.1525579834571061E-6</v>
      </c>
    </row>
    <row r="76" spans="1:8" x14ac:dyDescent="0.2">
      <c r="A76">
        <v>-7.3481925624598841E-3</v>
      </c>
      <c r="B76">
        <v>2.4855006656865242E-2</v>
      </c>
      <c r="C76">
        <v>6.391297849133018E-2</v>
      </c>
      <c r="D76">
        <v>4.1562964899398237E-2</v>
      </c>
      <c r="E76">
        <v>-1.9511723901998283E-2</v>
      </c>
      <c r="F76">
        <f t="shared" si="2"/>
        <v>4.4195649592373041E-3</v>
      </c>
      <c r="G76">
        <v>2.6673551132389696E-3</v>
      </c>
      <c r="H76">
        <f t="shared" si="3"/>
        <v>3.0702393444135073E-6</v>
      </c>
    </row>
    <row r="77" spans="1:8" x14ac:dyDescent="0.2">
      <c r="A77">
        <v>-4.9459681730362639E-4</v>
      </c>
      <c r="B77">
        <v>-2.4329783785001337E-3</v>
      </c>
      <c r="C77">
        <v>2.711927046741943E-2</v>
      </c>
      <c r="D77">
        <v>1.4515098297643424E-3</v>
      </c>
      <c r="E77">
        <v>-3.7570686080410233E-2</v>
      </c>
      <c r="F77">
        <f t="shared" si="2"/>
        <v>-6.895080332297558E-3</v>
      </c>
      <c r="G77">
        <v>-8.6142675399023417E-3</v>
      </c>
      <c r="H77">
        <f t="shared" si="3"/>
        <v>2.9556046547919337E-6</v>
      </c>
    </row>
    <row r="78" spans="1:8" x14ac:dyDescent="0.2">
      <c r="A78">
        <v>4.1686566937764527E-2</v>
      </c>
      <c r="B78">
        <v>6.2502451725004196E-2</v>
      </c>
      <c r="C78">
        <v>8.319335724697513E-2</v>
      </c>
      <c r="D78">
        <v>3.3920070304041747E-2</v>
      </c>
      <c r="E78">
        <v>2.1410500625336327E-2</v>
      </c>
      <c r="F78">
        <f t="shared" si="2"/>
        <v>4.3851941033110443E-2</v>
      </c>
      <c r="G78">
        <v>5.2092187886320036E-2</v>
      </c>
      <c r="H78">
        <f t="shared" si="3"/>
        <v>6.7901668201830604E-5</v>
      </c>
    </row>
    <row r="79" spans="1:8" x14ac:dyDescent="0.2">
      <c r="A79">
        <v>-9.4793265252221294E-3</v>
      </c>
      <c r="B79">
        <v>1.5481968690671116E-3</v>
      </c>
      <c r="C79">
        <v>-2.5539379223980956E-2</v>
      </c>
      <c r="D79">
        <v>-3.3378108990252578E-2</v>
      </c>
      <c r="E79">
        <v>-0.18253529531316887</v>
      </c>
      <c r="F79">
        <f t="shared" si="2"/>
        <v>-5.2509515870363802E-2</v>
      </c>
      <c r="G79">
        <v>-6.0345906955311023E-2</v>
      </c>
      <c r="H79">
        <f t="shared" si="3"/>
        <v>6.1409025236240284E-5</v>
      </c>
    </row>
    <row r="80" spans="1:8" x14ac:dyDescent="0.2">
      <c r="A80">
        <v>2.3240694993601228E-2</v>
      </c>
      <c r="B80">
        <v>8.3290199439041521E-2</v>
      </c>
      <c r="C80">
        <v>6.8907864718814466E-2</v>
      </c>
      <c r="D80">
        <v>9.2160239155524432E-2</v>
      </c>
      <c r="E80">
        <v>4.4112379267875694E-2</v>
      </c>
      <c r="F80">
        <f t="shared" si="2"/>
        <v>4.5804183797915815E-2</v>
      </c>
      <c r="G80">
        <v>5.9648057110449938E-2</v>
      </c>
      <c r="H80">
        <f t="shared" si="3"/>
        <v>1.9165282829349453E-4</v>
      </c>
    </row>
    <row r="81" spans="1:8" x14ac:dyDescent="0.2">
      <c r="A81">
        <v>2.9693535026686244E-2</v>
      </c>
      <c r="B81">
        <v>3.7764694441312231E-2</v>
      </c>
      <c r="C81">
        <v>-3.4570741559421941E-2</v>
      </c>
      <c r="D81">
        <v>3.3300404334326066E-2</v>
      </c>
      <c r="E81">
        <v>0.14530738430911755</v>
      </c>
      <c r="F81">
        <f t="shared" si="2"/>
        <v>5.2663987927701376E-2</v>
      </c>
      <c r="G81">
        <v>5.8504914341916285E-2</v>
      </c>
      <c r="H81">
        <f t="shared" si="3"/>
        <v>3.4116421376273429E-5</v>
      </c>
    </row>
    <row r="82" spans="1:8" x14ac:dyDescent="0.2">
      <c r="A82">
        <v>-5.1637910669067359E-2</v>
      </c>
      <c r="B82">
        <v>-7.4002718347961294E-2</v>
      </c>
      <c r="C82">
        <v>-4.0934373693210437E-2</v>
      </c>
      <c r="D82">
        <v>-4.1217164707609069E-2</v>
      </c>
      <c r="E82">
        <v>2.3308012756812168E-2</v>
      </c>
      <c r="F82">
        <f t="shared" si="2"/>
        <v>-3.5383957380801398E-2</v>
      </c>
      <c r="G82">
        <v>-3.5470900088342208E-2</v>
      </c>
      <c r="H82">
        <f t="shared" si="3"/>
        <v>7.5590343945268613E-9</v>
      </c>
    </row>
    <row r="83" spans="1:8" x14ac:dyDescent="0.2">
      <c r="A83">
        <v>-4.3727518946409576E-2</v>
      </c>
      <c r="B83">
        <v>-6.8999064048701528E-2</v>
      </c>
      <c r="C83">
        <v>3.587882852601669E-2</v>
      </c>
      <c r="D83">
        <v>-4.4969915412563559E-2</v>
      </c>
      <c r="E83">
        <v>-4.1350756808486787E-2</v>
      </c>
      <c r="F83">
        <f t="shared" si="2"/>
        <v>-3.9134378410197471E-2</v>
      </c>
      <c r="G83">
        <v>-4.2814367873678524E-2</v>
      </c>
      <c r="H83">
        <f t="shared" si="3"/>
        <v>1.3542322451331573E-5</v>
      </c>
    </row>
    <row r="84" spans="1:8" x14ac:dyDescent="0.2">
      <c r="A84">
        <v>-9.8598066455527177E-3</v>
      </c>
      <c r="B84">
        <v>1.1388792978395774E-2</v>
      </c>
      <c r="C84">
        <v>3.5474296523491738E-2</v>
      </c>
      <c r="D84">
        <v>2.0359866024403765E-2</v>
      </c>
      <c r="E84">
        <v>1.9509482012785639E-2</v>
      </c>
      <c r="F84">
        <f t="shared" si="2"/>
        <v>6.6947607479149063E-3</v>
      </c>
      <c r="G84">
        <v>7.1321408228271653E-3</v>
      </c>
      <c r="H84">
        <f t="shared" si="3"/>
        <v>1.9130132993025322E-7</v>
      </c>
    </row>
    <row r="85" spans="1:8" x14ac:dyDescent="0.2">
      <c r="A85">
        <v>-2.1132627876263204E-3</v>
      </c>
      <c r="B85">
        <v>-7.2836762675389091E-2</v>
      </c>
      <c r="C85">
        <v>-7.6943788674178767E-2</v>
      </c>
      <c r="D85">
        <v>-6.5847703379204897E-2</v>
      </c>
      <c r="E85">
        <v>4.8176711302205201E-3</v>
      </c>
      <c r="F85">
        <f t="shared" si="2"/>
        <v>-2.2305305077202776E-2</v>
      </c>
      <c r="G85">
        <v>-1.5383757030036617E-2</v>
      </c>
      <c r="H85">
        <f t="shared" si="3"/>
        <v>4.7907827369229674E-5</v>
      </c>
    </row>
    <row r="86" spans="1:8" x14ac:dyDescent="0.2">
      <c r="A86">
        <v>-6.2100377765413689E-2</v>
      </c>
      <c r="B86">
        <v>-3.0680346139762938E-2</v>
      </c>
      <c r="C86">
        <v>-2.9469670329666842E-2</v>
      </c>
      <c r="D86">
        <v>-7.2126582053620145E-2</v>
      </c>
      <c r="E86">
        <v>1.6370365826811856E-2</v>
      </c>
      <c r="F86">
        <f t="shared" si="2"/>
        <v>-3.5346941344838498E-2</v>
      </c>
      <c r="G86">
        <v>-3.5716240135001423E-2</v>
      </c>
      <c r="H86">
        <f t="shared" si="3"/>
        <v>1.3638159641580027E-7</v>
      </c>
    </row>
    <row r="87" spans="1:8" x14ac:dyDescent="0.2">
      <c r="A87">
        <v>3.2154568182446011E-2</v>
      </c>
      <c r="B87">
        <v>5.0806369556097207E-2</v>
      </c>
      <c r="C87">
        <v>4.8120373939935276E-2</v>
      </c>
      <c r="D87">
        <v>9.4109284880516009E-2</v>
      </c>
      <c r="E87">
        <v>-3.5903258549440313E-2</v>
      </c>
      <c r="F87">
        <f t="shared" si="2"/>
        <v>2.330744509626681E-2</v>
      </c>
      <c r="G87">
        <v>1.8391673539941211E-2</v>
      </c>
      <c r="H87">
        <f t="shared" si="3"/>
        <v>2.4164809993979808E-5</v>
      </c>
    </row>
    <row r="88" spans="1:8" x14ac:dyDescent="0.2">
      <c r="A88">
        <v>2.5704073819387406E-2</v>
      </c>
      <c r="B88">
        <v>4.2307530082439086E-2</v>
      </c>
      <c r="C88">
        <v>2.4264444746934836E-2</v>
      </c>
      <c r="D88">
        <v>-6.8158237617686719E-3</v>
      </c>
      <c r="E88">
        <v>-4.4632694818007874E-3</v>
      </c>
      <c r="F88">
        <f t="shared" si="2"/>
        <v>1.9227777905599437E-2</v>
      </c>
      <c r="G88">
        <v>1.7346425628268655E-2</v>
      </c>
      <c r="H88">
        <f t="shared" si="3"/>
        <v>3.5394863914177224E-6</v>
      </c>
    </row>
    <row r="89" spans="1:8" x14ac:dyDescent="0.2">
      <c r="A89">
        <v>-4.285043433202846E-2</v>
      </c>
      <c r="B89">
        <v>-6.9363680941962158E-2</v>
      </c>
      <c r="C89">
        <v>-8.1588222620400261E-2</v>
      </c>
      <c r="D89">
        <v>-9.0766043795546092E-2</v>
      </c>
      <c r="E89">
        <v>-4.4784111413736685E-2</v>
      </c>
      <c r="F89">
        <f t="shared" si="2"/>
        <v>-5.380187639679402E-2</v>
      </c>
      <c r="G89">
        <v>-4.754441265048498E-2</v>
      </c>
      <c r="H89">
        <f t="shared" si="3"/>
        <v>3.915585253637197E-5</v>
      </c>
    </row>
    <row r="90" spans="1:8" x14ac:dyDescent="0.2">
      <c r="A90">
        <v>3.5332569658328775E-2</v>
      </c>
      <c r="B90">
        <v>6.8543700384004494E-2</v>
      </c>
      <c r="C90">
        <v>6.7939966745806504E-2</v>
      </c>
      <c r="D90">
        <v>4.8410323969236203E-2</v>
      </c>
      <c r="E90">
        <v>4.1320970692421015E-2</v>
      </c>
      <c r="F90">
        <f t="shared" si="2"/>
        <v>4.5954913151333779E-2</v>
      </c>
      <c r="G90">
        <v>4.118936518099027E-2</v>
      </c>
      <c r="H90">
        <f t="shared" si="3"/>
        <v>2.2710447457645136E-5</v>
      </c>
    </row>
    <row r="91" spans="1:8" x14ac:dyDescent="0.2">
      <c r="A91">
        <v>-1.6718847471256796E-2</v>
      </c>
      <c r="B91">
        <v>-2.6948479742386362E-2</v>
      </c>
      <c r="C91">
        <v>-3.4834675405810485E-2</v>
      </c>
      <c r="D91">
        <v>8.1515705715268921E-3</v>
      </c>
      <c r="E91">
        <v>-3.1892402329011624E-2</v>
      </c>
      <c r="F91">
        <f t="shared" si="2"/>
        <v>-2.2590532189099254E-2</v>
      </c>
      <c r="G91">
        <v>-2.5756551140861655E-2</v>
      </c>
      <c r="H91">
        <f t="shared" si="3"/>
        <v>1.0023676002918694E-5</v>
      </c>
    </row>
    <row r="92" spans="1:8" x14ac:dyDescent="0.2">
      <c r="A92">
        <v>-8.2838695647978137E-3</v>
      </c>
      <c r="B92">
        <v>-2.2317365259636669E-2</v>
      </c>
      <c r="C92">
        <v>1.3612077882260674E-2</v>
      </c>
      <c r="D92">
        <v>-5.6933179511113437E-2</v>
      </c>
      <c r="E92">
        <v>-9.7339372532928709E-3</v>
      </c>
      <c r="F92">
        <f t="shared" si="2"/>
        <v>-1.1062085818900471E-2</v>
      </c>
      <c r="G92">
        <v>-1.2680505965948857E-2</v>
      </c>
      <c r="H92">
        <f t="shared" si="3"/>
        <v>2.6192837723721203E-6</v>
      </c>
    </row>
    <row r="93" spans="1:8" x14ac:dyDescent="0.2">
      <c r="A93">
        <v>1.406738862988533E-2</v>
      </c>
      <c r="B93">
        <v>-2.9221235677034222E-2</v>
      </c>
      <c r="C93">
        <v>-3.1264608929332409E-2</v>
      </c>
      <c r="D93">
        <v>-3.6136302435603798E-2</v>
      </c>
      <c r="E93">
        <v>-7.1629652078012571E-2</v>
      </c>
      <c r="F93">
        <f t="shared" si="2"/>
        <v>-2.0602593342619525E-2</v>
      </c>
      <c r="G93">
        <v>-2.7846609705399678E-2</v>
      </c>
      <c r="H93">
        <f t="shared" si="3"/>
        <v>5.2475773064226581E-5</v>
      </c>
    </row>
    <row r="94" spans="1:8" x14ac:dyDescent="0.2">
      <c r="A94">
        <v>-3.0426907531404587E-3</v>
      </c>
      <c r="B94">
        <v>-3.685317325586205E-2</v>
      </c>
      <c r="C94">
        <v>4.0649322436286876E-2</v>
      </c>
      <c r="D94">
        <v>-2.4515861837487E-2</v>
      </c>
      <c r="E94">
        <v>-8.9705744437715756E-2</v>
      </c>
      <c r="F94">
        <f t="shared" si="2"/>
        <v>-2.6016125609695205E-2</v>
      </c>
      <c r="G94">
        <v>-2.6874237703790001E-2</v>
      </c>
      <c r="H94">
        <f t="shared" si="3"/>
        <v>7.3635636603175533E-7</v>
      </c>
    </row>
    <row r="95" spans="1:8" x14ac:dyDescent="0.2">
      <c r="A95">
        <v>5.1255377984210128E-3</v>
      </c>
      <c r="B95">
        <v>5.0465965328319463E-2</v>
      </c>
      <c r="C95">
        <v>-4.3773727398224063E-2</v>
      </c>
      <c r="D95">
        <v>0.10299156498771887</v>
      </c>
      <c r="E95">
        <v>6.8122445358412304E-2</v>
      </c>
      <c r="F95">
        <f t="shared" si="2"/>
        <v>2.7473373148487822E-2</v>
      </c>
      <c r="G95">
        <v>2.6060305478487651E-2</v>
      </c>
      <c r="H95">
        <f t="shared" si="3"/>
        <v>1.9967602399997106E-6</v>
      </c>
    </row>
    <row r="96" spans="1:8" x14ac:dyDescent="0.2">
      <c r="A96">
        <v>4.426884475256361E-2</v>
      </c>
      <c r="B96">
        <v>2.6429722115196012E-2</v>
      </c>
      <c r="C96">
        <v>5.5614643373455189E-2</v>
      </c>
      <c r="D96">
        <v>2.3961498187858945E-2</v>
      </c>
      <c r="E96">
        <v>6.2402620917704411E-2</v>
      </c>
      <c r="F96">
        <f t="shared" si="2"/>
        <v>4.5991197411200994E-2</v>
      </c>
      <c r="G96">
        <v>4.7943539501527278E-2</v>
      </c>
      <c r="H96">
        <f t="shared" si="3"/>
        <v>3.8116396376596038E-6</v>
      </c>
    </row>
    <row r="97" spans="1:8" x14ac:dyDescent="0.2">
      <c r="A97">
        <v>2.8029055093797686E-2</v>
      </c>
      <c r="B97">
        <v>1.1817515092941594E-2</v>
      </c>
      <c r="C97">
        <v>-1.2878285314326544E-3</v>
      </c>
      <c r="D97">
        <v>1.3198642551656245E-3</v>
      </c>
      <c r="E97">
        <v>-7.3015767085214858E-2</v>
      </c>
      <c r="F97">
        <f t="shared" si="2"/>
        <v>-3.3099205879094339E-3</v>
      </c>
      <c r="G97">
        <v>-1.4956964438922859E-3</v>
      </c>
      <c r="H97">
        <f t="shared" si="3"/>
        <v>3.2914092447347532E-6</v>
      </c>
    </row>
    <row r="98" spans="1:8" x14ac:dyDescent="0.2">
      <c r="A98">
        <v>1.0737808767858721E-2</v>
      </c>
      <c r="B98">
        <v>-1.3402001531831438E-2</v>
      </c>
      <c r="C98">
        <v>1.5000539976149538E-2</v>
      </c>
      <c r="D98">
        <v>-3.0090128864506471E-2</v>
      </c>
      <c r="E98">
        <v>-6.1291425185459512E-2</v>
      </c>
      <c r="F98">
        <f t="shared" si="2"/>
        <v>-1.2125803811862915E-2</v>
      </c>
      <c r="G98">
        <v>-1.3658310695020052E-2</v>
      </c>
      <c r="H98">
        <f t="shared" si="3"/>
        <v>2.3485773469240033E-6</v>
      </c>
    </row>
    <row r="99" spans="1:8" x14ac:dyDescent="0.2">
      <c r="A99">
        <v>6.1400054961454092E-2</v>
      </c>
      <c r="B99">
        <v>8.1495871023280098E-2</v>
      </c>
      <c r="C99">
        <v>8.6223808381584319E-2</v>
      </c>
      <c r="D99">
        <v>7.3008340077897665E-2</v>
      </c>
      <c r="E99">
        <v>0.10583876582471907</v>
      </c>
      <c r="F99">
        <f t="shared" si="2"/>
        <v>7.8419705550491936E-2</v>
      </c>
      <c r="G99">
        <v>7.7057413508258524E-2</v>
      </c>
      <c r="H99">
        <f t="shared" si="3"/>
        <v>1.8558396083324812E-6</v>
      </c>
    </row>
    <row r="100" spans="1:8" x14ac:dyDescent="0.2">
      <c r="A100">
        <v>1.0990418374816735E-2</v>
      </c>
      <c r="B100">
        <v>-1.3867015053839627E-2</v>
      </c>
      <c r="C100">
        <v>-4.394978320330746E-2</v>
      </c>
      <c r="D100">
        <v>-5.4483044983739209E-2</v>
      </c>
      <c r="E100">
        <v>-2.8819911258943329E-2</v>
      </c>
      <c r="F100">
        <f t="shared" si="2"/>
        <v>-1.1398351608235907E-2</v>
      </c>
      <c r="G100">
        <v>-1.1383330764973181E-2</v>
      </c>
      <c r="H100">
        <f t="shared" si="3"/>
        <v>2.2562573232338941E-10</v>
      </c>
    </row>
    <row r="101" spans="1:8" x14ac:dyDescent="0.2">
      <c r="A101">
        <v>2.6433973400567454E-2</v>
      </c>
      <c r="B101">
        <v>1.1393426942340426E-2</v>
      </c>
      <c r="C101">
        <v>-3.1517956941437674E-3</v>
      </c>
      <c r="D101">
        <v>-3.6226980035362552E-2</v>
      </c>
      <c r="E101">
        <v>-7.7609642586798696E-3</v>
      </c>
      <c r="F101">
        <f t="shared" si="2"/>
        <v>9.6536037068252756E-3</v>
      </c>
      <c r="G101">
        <v>1.1455100562021668E-2</v>
      </c>
      <c r="H101">
        <f t="shared" si="3"/>
        <v>3.2453909192824919E-6</v>
      </c>
    </row>
    <row r="102" spans="1:8" x14ac:dyDescent="0.2">
      <c r="A102">
        <v>-9.2568489456243506E-5</v>
      </c>
      <c r="B102">
        <v>-1.6621505601895597E-3</v>
      </c>
      <c r="C102">
        <v>-1.1299615509348887E-2</v>
      </c>
      <c r="D102">
        <v>1.5914591561820561E-2</v>
      </c>
      <c r="E102">
        <v>-5.593685898058913E-2</v>
      </c>
      <c r="F102">
        <f t="shared" si="2"/>
        <v>-1.4205626793700068E-2</v>
      </c>
      <c r="G102">
        <v>-1.5327808610311335E-2</v>
      </c>
      <c r="H102">
        <f t="shared" si="3"/>
        <v>1.2592920295329618E-6</v>
      </c>
    </row>
    <row r="103" spans="1:8" x14ac:dyDescent="0.2">
      <c r="A103">
        <v>5.7015271401226919E-2</v>
      </c>
      <c r="B103">
        <v>1.9033619069458132E-2</v>
      </c>
      <c r="C103">
        <v>1.6493245215486382E-2</v>
      </c>
      <c r="D103">
        <v>9.3076479837052341E-3</v>
      </c>
      <c r="E103">
        <v>7.2704391931263532E-2</v>
      </c>
      <c r="F103">
        <f t="shared" si="2"/>
        <v>4.8362811979531899E-2</v>
      </c>
      <c r="G103">
        <v>4.8302070317005015E-2</v>
      </c>
      <c r="H103">
        <f t="shared" si="3"/>
        <v>3.689549566529818E-9</v>
      </c>
    </row>
    <row r="104" spans="1:8" x14ac:dyDescent="0.2">
      <c r="A104">
        <v>2.5372938131552423E-2</v>
      </c>
      <c r="B104">
        <v>3.555411720098365E-2</v>
      </c>
      <c r="C104">
        <v>4.1036662898988038E-2</v>
      </c>
      <c r="D104">
        <v>5.1997554887412818E-2</v>
      </c>
      <c r="E104">
        <v>6.1450140609043122E-2</v>
      </c>
      <c r="F104">
        <f t="shared" si="2"/>
        <v>3.8633665936858338E-2</v>
      </c>
      <c r="G104">
        <v>3.9361254263119025E-2</v>
      </c>
      <c r="H104">
        <f t="shared" si="3"/>
        <v>5.2938477251082703E-7</v>
      </c>
    </row>
    <row r="105" spans="1:8" x14ac:dyDescent="0.2">
      <c r="A105">
        <v>3.9120631539554147E-2</v>
      </c>
      <c r="B105">
        <v>1.6175811405144333E-3</v>
      </c>
      <c r="C105">
        <v>4.6893946659593296E-2</v>
      </c>
      <c r="D105">
        <v>4.4226359663159596E-2</v>
      </c>
      <c r="E105">
        <v>-7.9714711782947964E-3</v>
      </c>
      <c r="F105">
        <f t="shared" si="2"/>
        <v>2.2855924146525586E-2</v>
      </c>
      <c r="G105">
        <v>2.2167970849036839E-2</v>
      </c>
      <c r="H105">
        <f t="shared" si="3"/>
        <v>4.7327973952564045E-7</v>
      </c>
    </row>
    <row r="106" spans="1:8" x14ac:dyDescent="0.2">
      <c r="A106">
        <v>8.0456260979101333E-3</v>
      </c>
      <c r="B106">
        <v>4.7851370098896647E-3</v>
      </c>
      <c r="C106">
        <v>7.0738565425389173E-3</v>
      </c>
      <c r="D106">
        <v>9.6305068144638545E-3</v>
      </c>
      <c r="E106">
        <v>-1.9087387378842781E-2</v>
      </c>
      <c r="F106">
        <f t="shared" si="2"/>
        <v>9.3834236651435792E-4</v>
      </c>
      <c r="G106">
        <v>3.9196229958995497E-3</v>
      </c>
      <c r="H106">
        <f t="shared" si="3"/>
        <v>8.8880341911473654E-6</v>
      </c>
    </row>
    <row r="107" spans="1:8" x14ac:dyDescent="0.2">
      <c r="A107">
        <v>1.6903039419363636E-2</v>
      </c>
      <c r="B107">
        <v>2.1757357439346339E-4</v>
      </c>
      <c r="C107">
        <v>3.4607343160799118E-3</v>
      </c>
      <c r="D107">
        <v>3.6559169142187264E-2</v>
      </c>
      <c r="E107">
        <v>4.2705319670999199E-2</v>
      </c>
      <c r="F107">
        <f t="shared" si="2"/>
        <v>2.0159456947911512E-2</v>
      </c>
      <c r="G107">
        <v>2.3473577560274225E-2</v>
      </c>
      <c r="H107">
        <f t="shared" si="3"/>
        <v>1.0983395433287404E-5</v>
      </c>
    </row>
    <row r="108" spans="1:8" x14ac:dyDescent="0.2">
      <c r="A108">
        <v>2.5062531089497561E-2</v>
      </c>
      <c r="B108">
        <v>2.8687131990985895E-2</v>
      </c>
      <c r="C108">
        <v>-2.6243075452453656E-2</v>
      </c>
      <c r="D108">
        <v>2.8726247623605306E-2</v>
      </c>
      <c r="E108">
        <v>6.6904187548277178E-2</v>
      </c>
      <c r="F108">
        <f t="shared" si="2"/>
        <v>3.0767976681495078E-2</v>
      </c>
      <c r="G108">
        <v>3.3824286132649477E-2</v>
      </c>
      <c r="H108">
        <f t="shared" si="3"/>
        <v>9.3410274612157024E-6</v>
      </c>
    </row>
    <row r="109" spans="1:8" x14ac:dyDescent="0.2">
      <c r="A109">
        <v>1.6924649135793269E-2</v>
      </c>
      <c r="B109">
        <v>1.0642583856172864E-3</v>
      </c>
      <c r="C109">
        <v>5.2812603128636728E-3</v>
      </c>
      <c r="D109">
        <v>-2.020578355563294E-2</v>
      </c>
      <c r="E109">
        <v>-6.1080180874234807E-2</v>
      </c>
      <c r="F109">
        <f t="shared" si="2"/>
        <v>-7.5096371845694209E-3</v>
      </c>
      <c r="G109">
        <v>-8.4153711725261631E-3</v>
      </c>
      <c r="H109">
        <f t="shared" si="3"/>
        <v>8.2035405694002394E-7</v>
      </c>
    </row>
    <row r="110" spans="1:8" x14ac:dyDescent="0.2">
      <c r="A110">
        <v>-1.1066244657738328E-2</v>
      </c>
      <c r="B110">
        <v>-2.4009036069218989E-2</v>
      </c>
      <c r="C110">
        <v>3.750016808663366E-3</v>
      </c>
      <c r="D110">
        <v>1.2465547402648221E-3</v>
      </c>
      <c r="E110">
        <v>-1.0484221021290313E-2</v>
      </c>
      <c r="F110">
        <f t="shared" si="2"/>
        <v>-1.0844129457007802E-2</v>
      </c>
      <c r="G110">
        <v>-1.1767707637519369E-2</v>
      </c>
      <c r="H110">
        <f t="shared" si="3"/>
        <v>8.5299665551705672E-7</v>
      </c>
    </row>
    <row r="111" spans="1:8" x14ac:dyDescent="0.2">
      <c r="A111">
        <v>-5.5823703541230445E-2</v>
      </c>
      <c r="B111">
        <v>-5.0104717301312105E-3</v>
      </c>
      <c r="C111">
        <v>-7.4370533879462774E-3</v>
      </c>
      <c r="D111">
        <v>-3.8728315240294145E-2</v>
      </c>
      <c r="E111">
        <v>-5.5405085275954606E-2</v>
      </c>
      <c r="F111">
        <f t="shared" si="2"/>
        <v>-4.1988460272783537E-2</v>
      </c>
      <c r="G111">
        <v>-4.6652794141542067E-2</v>
      </c>
      <c r="H111">
        <f t="shared" si="3"/>
        <v>2.1756010439247916E-5</v>
      </c>
    </row>
    <row r="112" spans="1:8" x14ac:dyDescent="0.2">
      <c r="A112">
        <v>2.9084827671279553E-2</v>
      </c>
      <c r="B112">
        <v>5.6340595239984935E-2</v>
      </c>
      <c r="C112">
        <v>3.0275421515561972E-2</v>
      </c>
      <c r="D112">
        <v>-1.3604111524297635E-2</v>
      </c>
      <c r="E112">
        <v>-3.7593638106705907E-2</v>
      </c>
      <c r="F112">
        <f t="shared" si="2"/>
        <v>1.5190288408483061E-2</v>
      </c>
      <c r="G112">
        <v>1.8495300394158115E-2</v>
      </c>
      <c r="H112">
        <f t="shared" si="3"/>
        <v>1.0923104225455762E-5</v>
      </c>
    </row>
    <row r="113" spans="1:8" x14ac:dyDescent="0.2">
      <c r="A113">
        <v>5.5996647735396546E-2</v>
      </c>
      <c r="B113">
        <v>2.3256960782422727E-2</v>
      </c>
      <c r="C113">
        <v>8.5078174430958959E-3</v>
      </c>
      <c r="D113">
        <v>5.5500777132636563E-2</v>
      </c>
      <c r="E113">
        <v>3.6696234820647176E-2</v>
      </c>
      <c r="F113">
        <f t="shared" si="2"/>
        <v>4.1347109834948076E-2</v>
      </c>
      <c r="G113">
        <v>4.002312446405154E-2</v>
      </c>
      <c r="H113">
        <f t="shared" si="3"/>
        <v>1.7529372623480366E-6</v>
      </c>
    </row>
    <row r="114" spans="1:8" x14ac:dyDescent="0.2">
      <c r="A114">
        <v>1.0770159241959005E-2</v>
      </c>
      <c r="B114">
        <v>3.070995966261619E-2</v>
      </c>
      <c r="C114">
        <v>-4.9203217070295209E-3</v>
      </c>
      <c r="D114">
        <v>6.7529424956751941E-3</v>
      </c>
      <c r="E114">
        <v>-8.2864927924944751E-2</v>
      </c>
      <c r="F114">
        <f t="shared" si="2"/>
        <v>-1.0578093699344491E-2</v>
      </c>
      <c r="G114">
        <v>-7.4592132328644466E-3</v>
      </c>
      <c r="H114">
        <f t="shared" si="3"/>
        <v>9.727415364190776E-6</v>
      </c>
    </row>
    <row r="115" spans="1:8" x14ac:dyDescent="0.2">
      <c r="A115">
        <v>9.3298421255492828E-2</v>
      </c>
      <c r="B115">
        <v>7.4652596559160678E-2</v>
      </c>
      <c r="C115">
        <v>5.9723360768927113E-2</v>
      </c>
      <c r="D115">
        <v>7.2379070221259154E-2</v>
      </c>
      <c r="E115">
        <v>4.0297954975655512E-2</v>
      </c>
      <c r="F115">
        <f t="shared" si="2"/>
        <v>7.3080363370035109E-2</v>
      </c>
      <c r="G115">
        <v>7.4993625064503536E-2</v>
      </c>
      <c r="H115">
        <f t="shared" si="3"/>
        <v>3.6605703115201953E-6</v>
      </c>
    </row>
    <row r="116" spans="1:8" x14ac:dyDescent="0.2">
      <c r="A116">
        <v>6.2176229906936945E-3</v>
      </c>
      <c r="B116">
        <v>5.8270492640244378E-2</v>
      </c>
      <c r="C116">
        <v>2.8909468403848022E-2</v>
      </c>
      <c r="D116">
        <v>3.5460974233318836E-2</v>
      </c>
      <c r="E116">
        <v>-4.5310695793108528E-2</v>
      </c>
      <c r="F116">
        <f t="shared" si="2"/>
        <v>5.6674699591324883E-3</v>
      </c>
      <c r="G116">
        <v>9.2311318496478157E-3</v>
      </c>
      <c r="H116">
        <f t="shared" si="3"/>
        <v>1.2699686069911277E-5</v>
      </c>
    </row>
    <row r="117" spans="1:8" x14ac:dyDescent="0.2">
      <c r="A117">
        <v>0.107489254539902</v>
      </c>
      <c r="B117">
        <v>1.027628097466649E-2</v>
      </c>
      <c r="C117">
        <v>3.7332945003855034E-2</v>
      </c>
      <c r="D117">
        <v>6.3797447885036315E-2</v>
      </c>
      <c r="E117">
        <v>-7.3142086183845337E-2</v>
      </c>
      <c r="F117">
        <f t="shared" si="2"/>
        <v>3.9152921650937166E-2</v>
      </c>
      <c r="G117">
        <v>5.3219268513741168E-2</v>
      </c>
      <c r="H117">
        <f t="shared" si="3"/>
        <v>1.9786211406471599E-4</v>
      </c>
    </row>
    <row r="118" spans="1:8" x14ac:dyDescent="0.2">
      <c r="A118">
        <v>1.7160240388912479E-2</v>
      </c>
      <c r="B118">
        <v>3.9827242748379191E-2</v>
      </c>
      <c r="C118">
        <v>5.1095728725445697E-2</v>
      </c>
      <c r="D118">
        <v>1.5559910079358459E-2</v>
      </c>
      <c r="E118">
        <v>3.4087942129687118E-2</v>
      </c>
      <c r="F118">
        <f t="shared" si="2"/>
        <v>2.817636682524581E-2</v>
      </c>
      <c r="G118">
        <v>2.1573725973299155E-2</v>
      </c>
      <c r="H118">
        <f t="shared" si="3"/>
        <v>4.3594866219794857E-5</v>
      </c>
    </row>
    <row r="119" spans="1:8" x14ac:dyDescent="0.2">
      <c r="A119">
        <v>-4.1852279466613809E-2</v>
      </c>
      <c r="B119">
        <v>1.3349910484696137E-2</v>
      </c>
      <c r="C119">
        <v>7.534747140190072E-2</v>
      </c>
      <c r="D119">
        <v>3.4746629560396328E-2</v>
      </c>
      <c r="E119">
        <v>-2.862692410105068E-2</v>
      </c>
      <c r="F119">
        <f t="shared" si="2"/>
        <v>-1.4285249863019621E-2</v>
      </c>
      <c r="G119">
        <v>-1.6009839800164689E-2</v>
      </c>
      <c r="H119">
        <f t="shared" si="3"/>
        <v>2.9742104513020314E-6</v>
      </c>
    </row>
    <row r="120" spans="1:8" x14ac:dyDescent="0.2">
      <c r="A120">
        <v>5.9321958296422943E-2</v>
      </c>
      <c r="B120">
        <v>1.2651331056786431E-2</v>
      </c>
      <c r="C120">
        <v>-4.0726392816246078E-2</v>
      </c>
      <c r="D120">
        <v>-4.5724699983852847E-2</v>
      </c>
      <c r="E120">
        <v>3.2043151564021537E-2</v>
      </c>
      <c r="F120">
        <f t="shared" si="2"/>
        <v>2.9999605988180446E-2</v>
      </c>
      <c r="G120">
        <v>2.7687366817133966E-2</v>
      </c>
      <c r="H120">
        <f t="shared" si="3"/>
        <v>5.3464499841217121E-6</v>
      </c>
    </row>
    <row r="121" spans="1:8" x14ac:dyDescent="0.2">
      <c r="A121">
        <v>6.4924313686939461E-2</v>
      </c>
      <c r="B121">
        <v>5.3411841193869769E-2</v>
      </c>
      <c r="C121">
        <v>5.1677199932909174E-2</v>
      </c>
      <c r="D121">
        <v>1.7416714132652499E-3</v>
      </c>
      <c r="E121">
        <v>0.11540947435816695</v>
      </c>
      <c r="F121">
        <f t="shared" si="2"/>
        <v>7.0847779726533361E-2</v>
      </c>
      <c r="G121">
        <v>6.9712618495877093E-2</v>
      </c>
      <c r="H121">
        <f t="shared" si="3"/>
        <v>1.2885910195850518E-6</v>
      </c>
    </row>
    <row r="122" spans="1:8" x14ac:dyDescent="0.2">
      <c r="A122">
        <v>7.0756113548823676E-2</v>
      </c>
      <c r="B122">
        <v>3.8764282556371918E-2</v>
      </c>
      <c r="C122">
        <v>6.9654167887147136E-2</v>
      </c>
      <c r="D122">
        <v>0.10629529963364302</v>
      </c>
      <c r="E122">
        <v>9.9033335235517106E-2</v>
      </c>
      <c r="F122">
        <f t="shared" si="2"/>
        <v>7.4250397820161976E-2</v>
      </c>
      <c r="G122">
        <v>7.4848855490422972E-2</v>
      </c>
      <c r="H122">
        <f t="shared" si="3"/>
        <v>3.5815158309421922E-7</v>
      </c>
    </row>
    <row r="123" spans="1:8" x14ac:dyDescent="0.2">
      <c r="A123">
        <v>0.10305197497503568</v>
      </c>
      <c r="B123">
        <v>7.1493940734282058E-2</v>
      </c>
      <c r="C123">
        <v>0.1205803001683492</v>
      </c>
      <c r="D123">
        <v>4.432217132939624E-2</v>
      </c>
      <c r="E123">
        <v>-3.2967063536796302E-3</v>
      </c>
      <c r="F123">
        <f t="shared" si="2"/>
        <v>7.1150106631035673E-2</v>
      </c>
      <c r="G123">
        <v>7.1938596156068985E-2</v>
      </c>
      <c r="H123">
        <f t="shared" si="3"/>
        <v>6.2171573108725764E-7</v>
      </c>
    </row>
    <row r="124" spans="1:8" x14ac:dyDescent="0.2">
      <c r="A124">
        <v>-8.9013392660526949E-2</v>
      </c>
      <c r="B124">
        <v>-4.5482800631634464E-2</v>
      </c>
      <c r="C124">
        <v>-0.13173603274392254</v>
      </c>
      <c r="D124">
        <v>-0.10650965311124422</v>
      </c>
      <c r="E124">
        <v>-0.11781796894146696</v>
      </c>
      <c r="F124">
        <f t="shared" si="2"/>
        <v>-9.4350783606718142E-2</v>
      </c>
      <c r="G124">
        <v>-9.7114269277535969E-2</v>
      </c>
      <c r="H124">
        <f t="shared" si="3"/>
        <v>7.6368530528154598E-6</v>
      </c>
    </row>
    <row r="125" spans="1:8" x14ac:dyDescent="0.2">
      <c r="A125">
        <v>3.13887778715531E-2</v>
      </c>
      <c r="B125">
        <v>6.2634386721058644E-2</v>
      </c>
      <c r="C125">
        <v>5.4939996149398727E-2</v>
      </c>
      <c r="D125">
        <v>8.1331167638426405E-2</v>
      </c>
      <c r="E125">
        <v>-3.4077477506719939E-2</v>
      </c>
      <c r="F125">
        <f t="shared" si="2"/>
        <v>2.5314330208081597E-2</v>
      </c>
      <c r="G125">
        <v>3.3353152244716217E-2</v>
      </c>
      <c r="H125">
        <f t="shared" si="3"/>
        <v>6.4622659736682377E-5</v>
      </c>
    </row>
    <row r="126" spans="1:8" x14ac:dyDescent="0.2">
      <c r="A126">
        <v>-4.9660203643480297E-2</v>
      </c>
      <c r="B126">
        <v>-6.1895793858672186E-2</v>
      </c>
      <c r="C126">
        <v>-9.4242375766406622E-2</v>
      </c>
      <c r="D126">
        <v>-9.1102724598900814E-2</v>
      </c>
      <c r="E126">
        <v>-0.11915929070329044</v>
      </c>
      <c r="F126">
        <f t="shared" si="2"/>
        <v>-7.50103506992566E-2</v>
      </c>
      <c r="G126">
        <v>-7.618817054210282E-2</v>
      </c>
      <c r="H126">
        <f t="shared" si="3"/>
        <v>1.3872595822022943E-6</v>
      </c>
    </row>
    <row r="127" spans="1:8" x14ac:dyDescent="0.2">
      <c r="A127">
        <v>7.2735488179410945E-2</v>
      </c>
      <c r="B127">
        <v>2.9106282525657473E-2</v>
      </c>
      <c r="C127">
        <v>5.9737120434774887E-2</v>
      </c>
      <c r="D127">
        <v>4.6571421302995401E-2</v>
      </c>
      <c r="E127">
        <v>-3.7308834072833801E-2</v>
      </c>
      <c r="F127">
        <f t="shared" si="2"/>
        <v>3.6584606959175744E-2</v>
      </c>
      <c r="G127">
        <v>4.2868936064491402E-2</v>
      </c>
      <c r="H127">
        <f t="shared" si="3"/>
        <v>3.9492792303917489E-5</v>
      </c>
    </row>
    <row r="128" spans="1:8" x14ac:dyDescent="0.2">
      <c r="A128">
        <v>3.6245001479199991E-2</v>
      </c>
      <c r="B128">
        <v>5.748850105454497E-2</v>
      </c>
      <c r="C128">
        <v>6.2482299590354652E-2</v>
      </c>
      <c r="D128">
        <v>5.6421438043514731E-2</v>
      </c>
      <c r="E128">
        <v>-3.6792472755694118E-2</v>
      </c>
      <c r="F128">
        <f t="shared" si="2"/>
        <v>2.5545127331086132E-2</v>
      </c>
      <c r="G128">
        <v>3.3572230190584071E-2</v>
      </c>
      <c r="H128">
        <f t="shared" si="3"/>
        <v>6.4434380316959999E-5</v>
      </c>
    </row>
    <row r="129" spans="1:8" x14ac:dyDescent="0.2">
      <c r="A129">
        <v>9.4282690423724089E-3</v>
      </c>
      <c r="B129">
        <v>4.3052845690673698E-2</v>
      </c>
      <c r="C129">
        <v>2.6607973462671863E-2</v>
      </c>
      <c r="D129">
        <v>3.1893128157572719E-2</v>
      </c>
      <c r="E129">
        <v>8.2679045393334677E-2</v>
      </c>
      <c r="F129">
        <f t="shared" si="2"/>
        <v>3.5327311475311152E-2</v>
      </c>
      <c r="G129">
        <v>2.4032864263538276E-2</v>
      </c>
      <c r="H129">
        <f t="shared" si="3"/>
        <v>1.2756453781952409E-4</v>
      </c>
    </row>
    <row r="130" spans="1:8" x14ac:dyDescent="0.2">
      <c r="A130">
        <v>7.0387721794837613E-2</v>
      </c>
      <c r="B130">
        <v>6.8637423518690691E-2</v>
      </c>
      <c r="C130">
        <v>6.45890400427825E-2</v>
      </c>
      <c r="D130">
        <v>8.3472608877109125E-2</v>
      </c>
      <c r="E130">
        <v>8.3017961817371602E-3</v>
      </c>
      <c r="F130">
        <f t="shared" si="2"/>
        <v>5.5134142938941907E-2</v>
      </c>
      <c r="G130">
        <v>6.7935208753742996E-2</v>
      </c>
      <c r="H130">
        <f t="shared" si="3"/>
        <v>1.6386728599486906E-4</v>
      </c>
    </row>
    <row r="131" spans="1:8" x14ac:dyDescent="0.2">
      <c r="A131">
        <v>4.2705194697198252E-2</v>
      </c>
      <c r="B131">
        <v>4.2648170398638809E-2</v>
      </c>
      <c r="C131">
        <v>5.7495101016062394E-2</v>
      </c>
      <c r="D131">
        <v>9.7963528334997815E-2</v>
      </c>
      <c r="E131">
        <v>-7.7840096957923988E-2</v>
      </c>
      <c r="F131">
        <f t="shared" si="2"/>
        <v>1.7743037697885031E-2</v>
      </c>
      <c r="G131">
        <v>3.339843720633235E-2</v>
      </c>
      <c r="H131">
        <f t="shared" si="3"/>
        <v>2.4509153376909258E-4</v>
      </c>
    </row>
    <row r="132" spans="1:8" x14ac:dyDescent="0.2">
      <c r="A132">
        <v>-4.737363371991145E-3</v>
      </c>
      <c r="B132">
        <v>-1.5210163094243783E-2</v>
      </c>
      <c r="C132">
        <v>2.0159854052671199E-2</v>
      </c>
      <c r="D132">
        <v>1.5769593836403504E-2</v>
      </c>
      <c r="E132">
        <v>-2.0002249690172821E-2</v>
      </c>
      <c r="F132">
        <f t="shared" si="2"/>
        <v>-6.5380754300268943E-3</v>
      </c>
      <c r="G132">
        <v>-6.7839279238848509E-3</v>
      </c>
      <c r="H132">
        <f t="shared" si="3"/>
        <v>6.0443448736176615E-8</v>
      </c>
    </row>
    <row r="133" spans="1:8" x14ac:dyDescent="0.2">
      <c r="A133">
        <v>-1.4098928314645619E-2</v>
      </c>
      <c r="B133">
        <v>-3.2451203514538701E-2</v>
      </c>
      <c r="C133">
        <v>8.3702200079668512E-2</v>
      </c>
      <c r="D133">
        <v>5.7022069928109743E-2</v>
      </c>
      <c r="E133">
        <v>-4.9889855657374402E-2</v>
      </c>
      <c r="F133">
        <f t="shared" si="2"/>
        <v>-1.2205691122482621E-2</v>
      </c>
      <c r="G133">
        <v>-6.5508207852327709E-3</v>
      </c>
      <c r="H133">
        <f t="shared" si="3"/>
        <v>3.1977558531108227E-5</v>
      </c>
    </row>
    <row r="134" spans="1:8" x14ac:dyDescent="0.2">
      <c r="A134">
        <v>4.3411327143717544E-2</v>
      </c>
      <c r="B134">
        <v>1.5609772496804291E-2</v>
      </c>
      <c r="C134">
        <v>4.2701917288941925E-2</v>
      </c>
      <c r="D134">
        <v>2.4637910577016676E-2</v>
      </c>
      <c r="E134">
        <v>1.5716235004044971E-2</v>
      </c>
      <c r="F134">
        <f t="shared" si="2"/>
        <v>3.1318712938939917E-2</v>
      </c>
      <c r="G134">
        <v>2.4668612024256589E-2</v>
      </c>
      <c r="H134">
        <f t="shared" si="3"/>
        <v>4.422384217547204E-5</v>
      </c>
    </row>
    <row r="135" spans="1:8" x14ac:dyDescent="0.2">
      <c r="A135">
        <v>-1.5092402899834448E-2</v>
      </c>
      <c r="B135">
        <v>-2.6350626184149455E-2</v>
      </c>
      <c r="C135">
        <v>1.8778194052126891E-2</v>
      </c>
      <c r="D135">
        <v>5.1854044816243882E-3</v>
      </c>
      <c r="E135">
        <v>-1.7919378541603664E-2</v>
      </c>
      <c r="F135">
        <f t="shared" si="2"/>
        <v>-1.310606887294229E-2</v>
      </c>
      <c r="G135">
        <v>-6.8531881325752334E-3</v>
      </c>
      <c r="H135">
        <f t="shared" si="3"/>
        <v>3.9098517553253269E-5</v>
      </c>
    </row>
    <row r="136" spans="1:8" x14ac:dyDescent="0.2">
      <c r="A136">
        <v>-0.19889540992179722</v>
      </c>
      <c r="B136">
        <v>-0.12525148671810235</v>
      </c>
      <c r="C136">
        <v>-0.22807666903632257</v>
      </c>
      <c r="D136">
        <v>-0.1704327922122631</v>
      </c>
      <c r="E136">
        <v>-0.16951646079967045</v>
      </c>
      <c r="F136">
        <f t="shared" si="2"/>
        <v>-0.18172882137402768</v>
      </c>
      <c r="G136">
        <v>-0.19224637572024181</v>
      </c>
      <c r="H136">
        <f t="shared" si="3"/>
        <v>1.1061894942556764E-4</v>
      </c>
    </row>
    <row r="137" spans="1:8" x14ac:dyDescent="0.2">
      <c r="A137">
        <v>2.4845818859202437E-2</v>
      </c>
      <c r="B137">
        <v>-6.0566102882284006E-2</v>
      </c>
      <c r="C137">
        <v>-5.1694250560029464E-2</v>
      </c>
      <c r="D137">
        <v>-0.10650196244691362</v>
      </c>
      <c r="E137">
        <v>-6.6031408610158993E-2</v>
      </c>
      <c r="F137">
        <f t="shared" ref="F137:F200" si="4">SUMPRODUCT($A$6:$E$6,$A137:$E137)</f>
        <v>-2.4917640112744357E-2</v>
      </c>
      <c r="G137">
        <v>-2.1445845083893435E-2</v>
      </c>
      <c r="H137">
        <f t="shared" ref="H137:H200" si="5">(F137-G137)^2</f>
        <v>1.2053360722353971E-5</v>
      </c>
    </row>
    <row r="138" spans="1:8" x14ac:dyDescent="0.2">
      <c r="A138">
        <v>0.10197147816647735</v>
      </c>
      <c r="B138">
        <v>8.5521064684545164E-2</v>
      </c>
      <c r="C138">
        <v>6.8569575757289697E-2</v>
      </c>
      <c r="D138">
        <v>0.12582450628804279</v>
      </c>
      <c r="E138">
        <v>0.18285466874537815</v>
      </c>
      <c r="F138">
        <f t="shared" si="4"/>
        <v>0.11680605700676273</v>
      </c>
      <c r="G138">
        <v>0.11384022098961927</v>
      </c>
      <c r="H138">
        <f t="shared" si="5"/>
        <v>8.796183280585421E-6</v>
      </c>
    </row>
    <row r="139" spans="1:8" x14ac:dyDescent="0.2">
      <c r="A139">
        <v>5.8285173555398764E-2</v>
      </c>
      <c r="B139">
        <v>3.5242626070069227E-2</v>
      </c>
      <c r="C139">
        <v>4.3208640154872795E-2</v>
      </c>
      <c r="D139">
        <v>5.3611546891952314E-2</v>
      </c>
      <c r="E139">
        <v>3.7679592446185281E-2</v>
      </c>
      <c r="F139">
        <f t="shared" si="4"/>
        <v>4.7911673827413341E-2</v>
      </c>
      <c r="G139">
        <v>5.0209625036735137E-2</v>
      </c>
      <c r="H139">
        <f t="shared" si="5"/>
        <v>5.2805797604235022E-6</v>
      </c>
    </row>
    <row r="140" spans="1:8" x14ac:dyDescent="0.2">
      <c r="A140">
        <v>7.0485206213373855E-2</v>
      </c>
      <c r="B140">
        <v>4.3197814964384712E-2</v>
      </c>
      <c r="C140">
        <v>3.7793978609369297E-2</v>
      </c>
      <c r="D140">
        <v>5.3743057095071371E-2</v>
      </c>
      <c r="E140">
        <v>5.1442234158045747E-2</v>
      </c>
      <c r="F140">
        <f t="shared" si="4"/>
        <v>5.7437802955692216E-2</v>
      </c>
      <c r="G140">
        <v>6.0709077421328521E-2</v>
      </c>
      <c r="H140">
        <f t="shared" si="5"/>
        <v>1.0701236629524092E-5</v>
      </c>
    </row>
    <row r="141" spans="1:8" x14ac:dyDescent="0.2">
      <c r="A141">
        <v>7.5320604709390837E-2</v>
      </c>
      <c r="B141">
        <v>2.1596881980438187E-2</v>
      </c>
      <c r="C141">
        <v>4.9673295210907645E-2</v>
      </c>
      <c r="D141">
        <v>6.183120110323765E-2</v>
      </c>
      <c r="E141">
        <v>4.063473827035069E-2</v>
      </c>
      <c r="F141">
        <f t="shared" si="4"/>
        <v>5.5203044463600817E-2</v>
      </c>
      <c r="G141">
        <v>5.4609298078013672E-2</v>
      </c>
      <c r="H141">
        <f t="shared" si="5"/>
        <v>3.5253477039779832E-7</v>
      </c>
    </row>
    <row r="142" spans="1:8" x14ac:dyDescent="0.2">
      <c r="A142">
        <v>-6.9524061083249295E-4</v>
      </c>
      <c r="B142">
        <v>4.8666040800826905E-2</v>
      </c>
      <c r="C142">
        <v>-5.8438907716669687E-2</v>
      </c>
      <c r="D142">
        <v>-3.9945435888858537E-2</v>
      </c>
      <c r="E142">
        <v>5.8808066982965375E-3</v>
      </c>
      <c r="F142">
        <f t="shared" si="4"/>
        <v>8.5025495443300371E-4</v>
      </c>
      <c r="G142">
        <v>6.1786269387722722E-4</v>
      </c>
      <c r="H142">
        <f t="shared" si="5"/>
        <v>5.4006162766223912E-8</v>
      </c>
    </row>
    <row r="143" spans="1:8" x14ac:dyDescent="0.2">
      <c r="A143">
        <v>5.6841322978299011E-2</v>
      </c>
      <c r="B143">
        <v>4.5876741395672473E-2</v>
      </c>
      <c r="C143">
        <v>-1.1394869378854202E-2</v>
      </c>
      <c r="D143">
        <v>3.4601231619857453E-2</v>
      </c>
      <c r="E143">
        <v>0.14647089928028068</v>
      </c>
      <c r="F143">
        <f t="shared" si="4"/>
        <v>6.8827123652801275E-2</v>
      </c>
      <c r="G143">
        <v>5.683005649065611E-2</v>
      </c>
      <c r="H143">
        <f t="shared" si="5"/>
        <v>1.4392962049302184E-4</v>
      </c>
    </row>
    <row r="144" spans="1:8" x14ac:dyDescent="0.2">
      <c r="A144">
        <v>4.1190271340408986E-2</v>
      </c>
      <c r="B144">
        <v>4.2746100212142604E-2</v>
      </c>
      <c r="C144">
        <v>6.8594034501273757E-2</v>
      </c>
      <c r="D144">
        <v>3.1662782309099316E-2</v>
      </c>
      <c r="E144">
        <v>4.702356509108932E-2</v>
      </c>
      <c r="F144">
        <f t="shared" si="4"/>
        <v>4.5142747891031836E-2</v>
      </c>
      <c r="G144">
        <v>4.4271946919869271E-2</v>
      </c>
      <c r="H144">
        <f t="shared" si="5"/>
        <v>7.5829433137766635E-7</v>
      </c>
    </row>
    <row r="145" spans="1:8" x14ac:dyDescent="0.2">
      <c r="A145">
        <v>-4.9975171172037588E-4</v>
      </c>
      <c r="B145">
        <v>-3.4872749374746582E-2</v>
      </c>
      <c r="C145">
        <v>-3.9658005337904347E-2</v>
      </c>
      <c r="D145">
        <v>-3.3235756300291981E-4</v>
      </c>
      <c r="E145">
        <v>-3.4446583432781695E-2</v>
      </c>
      <c r="F145">
        <f t="shared" si="4"/>
        <v>-1.8080025404124032E-2</v>
      </c>
      <c r="G145">
        <v>-1.4234165379075552E-2</v>
      </c>
      <c r="H145">
        <f t="shared" si="5"/>
        <v>1.4790639332265897E-5</v>
      </c>
    </row>
    <row r="146" spans="1:8" x14ac:dyDescent="0.2">
      <c r="A146">
        <v>5.207969782450958E-2</v>
      </c>
      <c r="B146">
        <v>1.262609082322441E-3</v>
      </c>
      <c r="C146">
        <v>5.3797269263790186E-2</v>
      </c>
      <c r="D146">
        <v>2.9483205920012329E-2</v>
      </c>
      <c r="E146">
        <v>9.0633980575175632E-2</v>
      </c>
      <c r="F146">
        <f t="shared" si="4"/>
        <v>5.2480887938841654E-2</v>
      </c>
      <c r="G146">
        <v>4.5214486178162455E-2</v>
      </c>
      <c r="H146">
        <f t="shared" si="5"/>
        <v>5.280059454760176E-5</v>
      </c>
    </row>
    <row r="147" spans="1:8" x14ac:dyDescent="0.2">
      <c r="A147">
        <v>-5.6390962211744063E-2</v>
      </c>
      <c r="B147">
        <v>-9.45054204887418E-3</v>
      </c>
      <c r="C147">
        <v>-3.9553722118191727E-2</v>
      </c>
      <c r="D147">
        <v>-1.7936464982863963E-2</v>
      </c>
      <c r="E147">
        <v>7.2297382144738895E-2</v>
      </c>
      <c r="F147">
        <f t="shared" si="4"/>
        <v>-1.4197556466906274E-2</v>
      </c>
      <c r="G147">
        <v>-2.6486990132615316E-2</v>
      </c>
      <c r="H147">
        <f t="shared" si="5"/>
        <v>1.510301798238628E-4</v>
      </c>
    </row>
    <row r="148" spans="1:8" x14ac:dyDescent="0.2">
      <c r="A148">
        <v>2.8320043340313138E-3</v>
      </c>
      <c r="B148">
        <v>4.2644716839097081E-3</v>
      </c>
      <c r="C148">
        <v>2.6438823990998971E-2</v>
      </c>
      <c r="D148">
        <v>4.5102900978815814E-2</v>
      </c>
      <c r="E148">
        <v>2.7429860834057409E-3</v>
      </c>
      <c r="F148">
        <f t="shared" si="4"/>
        <v>7.5393344039631485E-3</v>
      </c>
      <c r="G148">
        <v>7.3672016437803011E-3</v>
      </c>
      <c r="H148">
        <f t="shared" si="5"/>
        <v>2.9629687128165661E-8</v>
      </c>
    </row>
    <row r="149" spans="1:8" x14ac:dyDescent="0.2">
      <c r="A149">
        <v>-5.0910926535698398E-2</v>
      </c>
      <c r="B149">
        <v>-3.8201610320717783E-2</v>
      </c>
      <c r="C149">
        <v>-3.4267767167722625E-2</v>
      </c>
      <c r="D149">
        <v>-1.0286830895335792E-2</v>
      </c>
      <c r="E149">
        <v>3.8743467808076214E-2</v>
      </c>
      <c r="F149">
        <f t="shared" si="4"/>
        <v>-2.3467827674758666E-2</v>
      </c>
      <c r="G149">
        <v>-3.05347440466779E-2</v>
      </c>
      <c r="H149">
        <f t="shared" si="5"/>
        <v>4.9941307007700114E-5</v>
      </c>
    </row>
    <row r="150" spans="1:8" x14ac:dyDescent="0.2">
      <c r="A150">
        <v>9.8307159287306087E-2</v>
      </c>
      <c r="B150">
        <v>6.2617184478807833E-2</v>
      </c>
      <c r="C150">
        <v>8.7714993905161812E-2</v>
      </c>
      <c r="D150">
        <v>8.8827450196516722E-2</v>
      </c>
      <c r="E150">
        <v>7.7487168530380776E-2</v>
      </c>
      <c r="F150">
        <f t="shared" si="4"/>
        <v>8.6107176681886374E-2</v>
      </c>
      <c r="G150">
        <v>8.5591049157345042E-2</v>
      </c>
      <c r="H150">
        <f t="shared" si="5"/>
        <v>2.6638762158916345E-7</v>
      </c>
    </row>
    <row r="151" spans="1:8" x14ac:dyDescent="0.2">
      <c r="A151">
        <v>4.1568912873431174E-2</v>
      </c>
      <c r="B151">
        <v>3.1530894450937492E-2</v>
      </c>
      <c r="C151">
        <v>4.7840398972292669E-2</v>
      </c>
      <c r="D151">
        <v>5.3092260284908488E-2</v>
      </c>
      <c r="E151">
        <v>6.2893163727505585E-2</v>
      </c>
      <c r="F151">
        <f t="shared" si="4"/>
        <v>4.6370972563738205E-2</v>
      </c>
      <c r="G151">
        <v>4.8093079342259121E-2</v>
      </c>
      <c r="H151">
        <f t="shared" si="5"/>
        <v>2.9656517566276855E-6</v>
      </c>
    </row>
    <row r="152" spans="1:8" x14ac:dyDescent="0.2">
      <c r="A152">
        <v>6.4423216731778241E-2</v>
      </c>
      <c r="B152">
        <v>5.1541492622424127E-2</v>
      </c>
      <c r="C152">
        <v>0.15529220257998516</v>
      </c>
      <c r="D152">
        <v>0.10537268422214283</v>
      </c>
      <c r="E152">
        <v>5.7736996152014372E-2</v>
      </c>
      <c r="F152">
        <f t="shared" si="4"/>
        <v>7.2018239198309936E-2</v>
      </c>
      <c r="G152">
        <v>7.484775869732592E-2</v>
      </c>
      <c r="H152">
        <f t="shared" si="5"/>
        <v>8.0061805953116638E-6</v>
      </c>
    </row>
    <row r="153" spans="1:8" x14ac:dyDescent="0.2">
      <c r="A153">
        <v>-2.6258331201215786E-2</v>
      </c>
      <c r="B153">
        <v>-6.8388864178484471E-2</v>
      </c>
      <c r="C153">
        <v>-6.3683571889631922E-3</v>
      </c>
      <c r="D153">
        <v>-3.9341062791849991E-2</v>
      </c>
      <c r="E153">
        <v>-1.4919003420705465E-2</v>
      </c>
      <c r="F153">
        <f t="shared" si="4"/>
        <v>-2.877396927329676E-2</v>
      </c>
      <c r="G153">
        <v>-3.015934660378829E-2</v>
      </c>
      <c r="H153">
        <f t="shared" si="5"/>
        <v>1.9192703478398383E-6</v>
      </c>
    </row>
    <row r="154" spans="1:8" x14ac:dyDescent="0.2">
      <c r="A154">
        <v>-5.436130842549485E-3</v>
      </c>
      <c r="B154">
        <v>-1.4635518956059312E-2</v>
      </c>
      <c r="C154">
        <v>0.1182270571260719</v>
      </c>
      <c r="D154">
        <v>0.10488259685076926</v>
      </c>
      <c r="E154">
        <v>-7.0518925425040405E-3</v>
      </c>
      <c r="F154">
        <f t="shared" si="4"/>
        <v>1.0756140315498404E-2</v>
      </c>
      <c r="G154">
        <v>2.1353071307459656E-2</v>
      </c>
      <c r="H154">
        <f t="shared" si="5"/>
        <v>1.1229494644838888E-4</v>
      </c>
    </row>
    <row r="155" spans="1:8" x14ac:dyDescent="0.2">
      <c r="A155">
        <v>0.11457064765545746</v>
      </c>
      <c r="B155">
        <v>8.9400013945218473E-2</v>
      </c>
      <c r="C155">
        <v>3.3574501320637325E-3</v>
      </c>
      <c r="D155">
        <v>3.0607069524966047E-2</v>
      </c>
      <c r="E155">
        <v>9.9169337274903777E-2</v>
      </c>
      <c r="F155">
        <f t="shared" si="4"/>
        <v>9.1431946337895698E-2</v>
      </c>
      <c r="G155">
        <v>8.625115980975262E-2</v>
      </c>
      <c r="H155">
        <f t="shared" si="5"/>
        <v>2.6840549050188805E-5</v>
      </c>
    </row>
    <row r="156" spans="1:8" x14ac:dyDescent="0.2">
      <c r="A156">
        <v>8.3368849772464254E-3</v>
      </c>
      <c r="B156">
        <v>-2.4842106439156315E-3</v>
      </c>
      <c r="C156">
        <v>-4.9189118729235461E-2</v>
      </c>
      <c r="D156">
        <v>8.08362254973196E-3</v>
      </c>
      <c r="E156">
        <v>-3.6428193563576163E-2</v>
      </c>
      <c r="F156">
        <f t="shared" si="4"/>
        <v>-1.004301546139086E-2</v>
      </c>
      <c r="G156">
        <v>-1.9889625183602835E-3</v>
      </c>
      <c r="H156">
        <f t="shared" si="5"/>
        <v>6.4867768809139493E-5</v>
      </c>
    </row>
    <row r="157" spans="1:8" x14ac:dyDescent="0.2">
      <c r="A157">
        <v>-7.5814239245886261E-2</v>
      </c>
      <c r="B157">
        <v>-8.4392653571789739E-2</v>
      </c>
      <c r="C157">
        <v>-8.0498526238825446E-2</v>
      </c>
      <c r="D157">
        <v>-2.2118532831163037E-2</v>
      </c>
      <c r="E157">
        <v>-0.10072588579741742</v>
      </c>
      <c r="F157">
        <f t="shared" si="4"/>
        <v>-8.0985019097210897E-2</v>
      </c>
      <c r="G157">
        <v>-7.4663376327787911E-2</v>
      </c>
      <c r="H157">
        <f t="shared" si="5"/>
        <v>3.9963167304197917E-5</v>
      </c>
    </row>
    <row r="158" spans="1:8" x14ac:dyDescent="0.2">
      <c r="A158">
        <v>3.537790402887786E-2</v>
      </c>
      <c r="B158">
        <v>1.9890520839388689E-2</v>
      </c>
      <c r="C158">
        <v>8.7118824170329037E-3</v>
      </c>
      <c r="D158">
        <v>4.912962144762037E-2</v>
      </c>
      <c r="E158">
        <v>7.8674517037166977E-2</v>
      </c>
      <c r="F158">
        <f t="shared" si="4"/>
        <v>4.1429638582136871E-2</v>
      </c>
      <c r="G158">
        <v>4.4741827966687908E-2</v>
      </c>
      <c r="H158">
        <f t="shared" si="5"/>
        <v>1.0970598519132577E-5</v>
      </c>
    </row>
    <row r="159" spans="1:8" x14ac:dyDescent="0.2">
      <c r="A159">
        <v>1.8002841166691305E-2</v>
      </c>
      <c r="B159">
        <v>4.2011034459501835E-2</v>
      </c>
      <c r="C159">
        <v>3.2306328446694177E-2</v>
      </c>
      <c r="D159">
        <v>2.0035654841568159E-2</v>
      </c>
      <c r="E159">
        <v>-8.5790387060621268E-2</v>
      </c>
      <c r="F159">
        <f t="shared" si="4"/>
        <v>-1.8319335323728168E-3</v>
      </c>
      <c r="G159">
        <v>7.4914826458298035E-3</v>
      </c>
      <c r="H159">
        <f t="shared" si="5"/>
        <v>8.6926089231970351E-5</v>
      </c>
    </row>
    <row r="160" spans="1:8" x14ac:dyDescent="0.2">
      <c r="A160">
        <v>8.9232361326130091E-2</v>
      </c>
      <c r="B160">
        <v>4.8280488971016909E-2</v>
      </c>
      <c r="C160">
        <v>-8.5543967777738841E-3</v>
      </c>
      <c r="D160">
        <v>1.4168836656127564E-2</v>
      </c>
      <c r="E160">
        <v>0.10176364486629931</v>
      </c>
      <c r="F160">
        <f t="shared" si="4"/>
        <v>7.2187079504174051E-2</v>
      </c>
      <c r="G160">
        <v>7.0538919841756489E-2</v>
      </c>
      <c r="H160">
        <f t="shared" si="5"/>
        <v>2.7164302728203701E-6</v>
      </c>
    </row>
    <row r="161" spans="1:8" x14ac:dyDescent="0.2">
      <c r="A161">
        <v>-3.7106537879479463E-2</v>
      </c>
      <c r="B161">
        <v>-9.8540271410583486E-3</v>
      </c>
      <c r="C161">
        <v>-3.4917399673370028E-2</v>
      </c>
      <c r="D161">
        <v>-4.6707656661209296E-2</v>
      </c>
      <c r="E161">
        <v>-3.1669593272627798E-2</v>
      </c>
      <c r="F161">
        <f t="shared" si="4"/>
        <v>-3.1765819082509146E-2</v>
      </c>
      <c r="G161">
        <v>-3.5857235284902929E-2</v>
      </c>
      <c r="H161">
        <f t="shared" si="5"/>
        <v>1.6739686541210363E-5</v>
      </c>
    </row>
    <row r="162" spans="1:8" x14ac:dyDescent="0.2">
      <c r="A162">
        <v>-1.1257347541358114E-2</v>
      </c>
      <c r="B162">
        <v>2.1047324786072699E-3</v>
      </c>
      <c r="C162">
        <v>3.121648937456015E-3</v>
      </c>
      <c r="D162">
        <v>-2.7963975650101839E-2</v>
      </c>
      <c r="E162">
        <v>-6.3385815624224767E-2</v>
      </c>
      <c r="F162">
        <f t="shared" si="4"/>
        <v>-2.1174063180883339E-2</v>
      </c>
      <c r="G162">
        <v>-2.1018525560495552E-2</v>
      </c>
      <c r="H162">
        <f t="shared" si="5"/>
        <v>2.4191951355895339E-8</v>
      </c>
    </row>
    <row r="163" spans="1:8" x14ac:dyDescent="0.2">
      <c r="A163">
        <v>-0.13246574366915903</v>
      </c>
      <c r="B163">
        <v>-0.11162452070971883</v>
      </c>
      <c r="C163">
        <v>-0.12655836209014873</v>
      </c>
      <c r="D163">
        <v>-9.7407126500712538E-2</v>
      </c>
      <c r="E163">
        <v>-9.210867193994611E-2</v>
      </c>
      <c r="F163">
        <f t="shared" si="4"/>
        <v>-0.11705699815163176</v>
      </c>
      <c r="G163">
        <v>-0.11283928654001406</v>
      </c>
      <c r="H163">
        <f t="shared" si="5"/>
        <v>1.7789091238774777E-5</v>
      </c>
    </row>
    <row r="164" spans="1:8" x14ac:dyDescent="0.2">
      <c r="A164">
        <v>-4.5408266734947994E-2</v>
      </c>
      <c r="B164">
        <v>2.1513904461582686E-2</v>
      </c>
      <c r="C164">
        <v>3.7673091350892494E-2</v>
      </c>
      <c r="D164">
        <v>3.2296648345017269E-2</v>
      </c>
      <c r="E164">
        <v>-0.10608203782875038</v>
      </c>
      <c r="F164">
        <f t="shared" si="4"/>
        <v>-3.7304909779227929E-2</v>
      </c>
      <c r="G164">
        <v>-2.7804405101333196E-2</v>
      </c>
      <c r="H164">
        <f t="shared" si="5"/>
        <v>9.0259589134699715E-5</v>
      </c>
    </row>
    <row r="165" spans="1:8" x14ac:dyDescent="0.2">
      <c r="A165">
        <v>5.3422140429964488E-2</v>
      </c>
      <c r="B165">
        <v>1.4787816938146891E-3</v>
      </c>
      <c r="C165">
        <v>5.503534252286664E-2</v>
      </c>
      <c r="D165">
        <v>2.0352253089676618E-2</v>
      </c>
      <c r="E165">
        <v>6.382825606646725E-3</v>
      </c>
      <c r="F165">
        <f t="shared" si="4"/>
        <v>3.2366711606514255E-2</v>
      </c>
      <c r="G165">
        <v>3.7040321330427145E-2</v>
      </c>
      <c r="H165">
        <f t="shared" si="5"/>
        <v>2.1842627851453121E-5</v>
      </c>
    </row>
    <row r="166" spans="1:8" x14ac:dyDescent="0.2">
      <c r="A166">
        <v>-8.1566249779944713E-2</v>
      </c>
      <c r="B166">
        <v>-5.844569752023257E-2</v>
      </c>
      <c r="C166">
        <v>-7.2756158004079585E-2</v>
      </c>
      <c r="D166">
        <v>-0.1054951067723838</v>
      </c>
      <c r="E166">
        <v>-3.2774044848553133E-2</v>
      </c>
      <c r="F166">
        <f t="shared" si="4"/>
        <v>-6.6414954674864024E-2</v>
      </c>
      <c r="G166">
        <v>-7.599966540126786E-2</v>
      </c>
      <c r="H166">
        <f t="shared" si="5"/>
        <v>9.1866679708840757E-5</v>
      </c>
    </row>
    <row r="167" spans="1:8" x14ac:dyDescent="0.2">
      <c r="A167">
        <v>-4.9280850385398554E-2</v>
      </c>
      <c r="B167">
        <v>-3.34069586868126E-2</v>
      </c>
      <c r="C167">
        <v>-9.3453276048249698E-2</v>
      </c>
      <c r="D167">
        <v>-5.4610136281425678E-2</v>
      </c>
      <c r="E167">
        <v>-1.5798983463735105E-2</v>
      </c>
      <c r="F167">
        <f t="shared" si="4"/>
        <v>-4.3405619519189718E-2</v>
      </c>
      <c r="G167">
        <v>-5.2161793685623313E-2</v>
      </c>
      <c r="H167">
        <f t="shared" si="5"/>
        <v>7.667058603291906E-5</v>
      </c>
    </row>
    <row r="168" spans="1:8" x14ac:dyDescent="0.2">
      <c r="A168">
        <v>9.3584667177522618E-2</v>
      </c>
      <c r="B168">
        <v>7.8967937349209746E-2</v>
      </c>
      <c r="C168">
        <v>8.2453891353169342E-2</v>
      </c>
      <c r="D168">
        <v>0.10553501526482051</v>
      </c>
      <c r="E168">
        <v>8.5009604026913183E-2</v>
      </c>
      <c r="F168">
        <f t="shared" si="4"/>
        <v>8.8682306499283298E-2</v>
      </c>
      <c r="G168">
        <v>8.9354366158954465E-2</v>
      </c>
      <c r="H168">
        <f t="shared" si="5"/>
        <v>4.5166418615732552E-7</v>
      </c>
    </row>
    <row r="169" spans="1:8" x14ac:dyDescent="0.2">
      <c r="A169">
        <v>3.0300241087426065E-2</v>
      </c>
      <c r="B169">
        <v>-1.0017675462096814E-2</v>
      </c>
      <c r="C169">
        <v>-4.6053541577032432E-2</v>
      </c>
      <c r="D169">
        <v>-4.7385576940547167E-2</v>
      </c>
      <c r="E169">
        <v>2.3379213739495999E-2</v>
      </c>
      <c r="F169">
        <f t="shared" si="4"/>
        <v>1.0676227869370614E-2</v>
      </c>
      <c r="G169">
        <v>1.0757144880452199E-2</v>
      </c>
      <c r="H169">
        <f t="shared" si="5"/>
        <v>6.5475626823773651E-9</v>
      </c>
    </row>
    <row r="170" spans="1:8" x14ac:dyDescent="0.2">
      <c r="A170">
        <v>-3.371988609300957E-2</v>
      </c>
      <c r="B170">
        <v>-4.5923268154607719E-2</v>
      </c>
      <c r="C170">
        <v>-1.7821931479077478E-2</v>
      </c>
      <c r="D170">
        <v>-5.2009407570625957E-2</v>
      </c>
      <c r="E170">
        <v>-7.1462715391027026E-2</v>
      </c>
      <c r="F170">
        <f t="shared" si="4"/>
        <v>-4.409296910901761E-2</v>
      </c>
      <c r="G170">
        <v>-4.2830514930614481E-2</v>
      </c>
      <c r="H170">
        <f t="shared" si="5"/>
        <v>1.5937905525675188E-6</v>
      </c>
    </row>
    <row r="171" spans="1:8" x14ac:dyDescent="0.2">
      <c r="A171">
        <v>-5.5653230285204899E-2</v>
      </c>
      <c r="B171">
        <v>-4.471561911091184E-2</v>
      </c>
      <c r="C171">
        <v>-4.1557287243838982E-2</v>
      </c>
      <c r="D171">
        <v>-4.079285750665395E-2</v>
      </c>
      <c r="E171">
        <v>-0.12273099117290398</v>
      </c>
      <c r="F171">
        <f t="shared" si="4"/>
        <v>-6.8022122035780508E-2</v>
      </c>
      <c r="G171">
        <v>-5.9310284470641253E-2</v>
      </c>
      <c r="H171">
        <f t="shared" si="5"/>
        <v>7.5896113761371464E-5</v>
      </c>
    </row>
    <row r="172" spans="1:8" x14ac:dyDescent="0.2">
      <c r="A172">
        <v>-8.1318373551569401E-2</v>
      </c>
      <c r="B172">
        <v>-2.5458725336747402E-2</v>
      </c>
      <c r="C172">
        <v>-8.4965581992886716E-2</v>
      </c>
      <c r="D172">
        <v>-4.5825273622238108E-2</v>
      </c>
      <c r="E172">
        <v>-3.6409137596406654E-2</v>
      </c>
      <c r="F172">
        <f t="shared" si="4"/>
        <v>-6.0248168053656466E-2</v>
      </c>
      <c r="G172">
        <v>-6.1791363170656706E-2</v>
      </c>
      <c r="H172">
        <f t="shared" si="5"/>
        <v>2.3814511691333846E-6</v>
      </c>
    </row>
    <row r="173" spans="1:8" x14ac:dyDescent="0.2">
      <c r="A173">
        <v>-7.3542675718163683E-2</v>
      </c>
      <c r="B173">
        <v>-6.2986578145707961E-2</v>
      </c>
      <c r="C173">
        <v>-0.17023531319299734</v>
      </c>
      <c r="D173">
        <v>-0.11725128122105972</v>
      </c>
      <c r="E173">
        <v>-9.4078904594111723E-2</v>
      </c>
      <c r="F173">
        <f t="shared" si="4"/>
        <v>-8.8827921624155023E-2</v>
      </c>
      <c r="G173">
        <v>-8.640410626012246E-2</v>
      </c>
      <c r="H173">
        <f t="shared" si="5"/>
        <v>5.8748809189203097E-6</v>
      </c>
    </row>
    <row r="174" spans="1:8" x14ac:dyDescent="0.2">
      <c r="A174">
        <v>3.2091001712601611E-2</v>
      </c>
      <c r="B174">
        <v>3.6794206197860786E-2</v>
      </c>
      <c r="C174">
        <v>6.1663984493512486E-2</v>
      </c>
      <c r="D174">
        <v>6.7541993489936433E-2</v>
      </c>
      <c r="E174">
        <v>1.6641495894040455E-2</v>
      </c>
      <c r="F174">
        <f t="shared" si="4"/>
        <v>3.3851344494593441E-2</v>
      </c>
      <c r="G174">
        <v>3.7007936462353758E-2</v>
      </c>
      <c r="H174">
        <f t="shared" si="5"/>
        <v>9.9640728509289482E-6</v>
      </c>
    </row>
    <row r="175" spans="1:8" x14ac:dyDescent="0.2">
      <c r="A175">
        <v>6.9431638406221047E-2</v>
      </c>
      <c r="B175">
        <v>1.6277833231583022E-2</v>
      </c>
      <c r="C175">
        <v>8.0879033734964245E-2</v>
      </c>
      <c r="D175">
        <v>2.5798848151207074E-2</v>
      </c>
      <c r="E175">
        <v>7.5751897630807544E-3</v>
      </c>
      <c r="F175">
        <f t="shared" si="4"/>
        <v>4.5060505652559417E-2</v>
      </c>
      <c r="G175">
        <v>5.3145438950432763E-2</v>
      </c>
      <c r="H175">
        <f t="shared" si="5"/>
        <v>6.5366146431061189E-5</v>
      </c>
    </row>
    <row r="176" spans="1:8" x14ac:dyDescent="0.2">
      <c r="A176">
        <v>1.4147709218733871E-2</v>
      </c>
      <c r="B176">
        <v>3.2002118884539812E-2</v>
      </c>
      <c r="C176">
        <v>3.9102287365256734E-2</v>
      </c>
      <c r="D176">
        <v>4.0243045219259498E-2</v>
      </c>
      <c r="E176">
        <v>-6.1021373487173423E-2</v>
      </c>
      <c r="F176">
        <f t="shared" si="4"/>
        <v>2.5653071404595027E-3</v>
      </c>
      <c r="G176">
        <v>1.4603158361163963E-2</v>
      </c>
      <c r="H176">
        <f t="shared" si="5"/>
        <v>1.4490986201181585E-4</v>
      </c>
    </row>
    <row r="177" spans="1:8" x14ac:dyDescent="0.2">
      <c r="A177">
        <v>-9.9228829592136361E-4</v>
      </c>
      <c r="B177">
        <v>-2.9331409267080454E-2</v>
      </c>
      <c r="C177">
        <v>-3.3554922167136549E-2</v>
      </c>
      <c r="D177">
        <v>-5.1494676131072205E-2</v>
      </c>
      <c r="E177">
        <v>-6.7324316246049731E-2</v>
      </c>
      <c r="F177">
        <f t="shared" si="4"/>
        <v>-2.7343431761044701E-2</v>
      </c>
      <c r="G177">
        <v>-1.7227098695589495E-2</v>
      </c>
      <c r="H177">
        <f t="shared" si="5"/>
        <v>1.0234019469122232E-4</v>
      </c>
    </row>
    <row r="178" spans="1:8" x14ac:dyDescent="0.2">
      <c r="A178">
        <v>-2.8071874799084448E-2</v>
      </c>
      <c r="B178">
        <v>-1.5817055445321582E-2</v>
      </c>
      <c r="C178">
        <v>-2.0028300903867063E-2</v>
      </c>
      <c r="D178">
        <v>1.729601891678283E-3</v>
      </c>
      <c r="E178">
        <v>3.3747251341162951E-2</v>
      </c>
      <c r="F178">
        <f t="shared" si="4"/>
        <v>-8.8579652346533425E-3</v>
      </c>
      <c r="G178">
        <v>-1.6768113393963235E-2</v>
      </c>
      <c r="H178">
        <f t="shared" si="5"/>
        <v>6.2570443902233675E-5</v>
      </c>
    </row>
    <row r="179" spans="1:8" x14ac:dyDescent="0.2">
      <c r="A179">
        <v>2.5105610536209352E-2</v>
      </c>
      <c r="B179">
        <v>2.93784861609016E-2</v>
      </c>
      <c r="C179">
        <v>6.5629597915315613E-2</v>
      </c>
      <c r="D179">
        <v>4.0917941120871382E-2</v>
      </c>
      <c r="E179">
        <v>4.1411508878844386E-2</v>
      </c>
      <c r="F179">
        <f t="shared" si="4"/>
        <v>3.4618786638765726E-2</v>
      </c>
      <c r="G179">
        <v>3.0909653217636349E-2</v>
      </c>
      <c r="H179">
        <f t="shared" si="5"/>
        <v>1.3757670735738922E-5</v>
      </c>
    </row>
    <row r="180" spans="1:8" x14ac:dyDescent="0.2">
      <c r="A180">
        <v>-0.10232078164284618</v>
      </c>
      <c r="B180">
        <v>-3.2749728654217582E-2</v>
      </c>
      <c r="C180">
        <v>-6.7499946378577466E-2</v>
      </c>
      <c r="D180">
        <v>-5.1208958772408518E-2</v>
      </c>
      <c r="E180">
        <v>2.2185772164784578E-2</v>
      </c>
      <c r="F180">
        <f t="shared" si="4"/>
        <v>-5.5132403251564738E-2</v>
      </c>
      <c r="G180">
        <v>-7.0249017748789735E-2</v>
      </c>
      <c r="H180">
        <f t="shared" si="5"/>
        <v>2.2851203385771296E-4</v>
      </c>
    </row>
    <row r="181" spans="1:8" x14ac:dyDescent="0.2">
      <c r="A181">
        <v>-5.0793201259914239E-2</v>
      </c>
      <c r="B181">
        <v>-6.0595898128526358E-2</v>
      </c>
      <c r="C181">
        <v>-5.8876136768733003E-2</v>
      </c>
      <c r="D181">
        <v>-4.5723033991772889E-2</v>
      </c>
      <c r="E181">
        <v>1.8674444190878121E-2</v>
      </c>
      <c r="F181">
        <f t="shared" si="4"/>
        <v>-3.606074729411015E-2</v>
      </c>
      <c r="G181">
        <v>-4.2168239638242261E-2</v>
      </c>
      <c r="H181">
        <f t="shared" si="5"/>
        <v>3.7301462733632344E-5</v>
      </c>
    </row>
    <row r="182" spans="1:8" x14ac:dyDescent="0.2">
      <c r="A182">
        <v>-0.11899246138254181</v>
      </c>
      <c r="B182">
        <v>-8.3339434467998824E-2</v>
      </c>
      <c r="C182">
        <v>-7.0245768757997568E-2</v>
      </c>
      <c r="D182">
        <v>-7.0603962506246259E-2</v>
      </c>
      <c r="E182">
        <v>-9.2043547934335959E-2</v>
      </c>
      <c r="F182">
        <f t="shared" si="4"/>
        <v>-9.9506220713681814E-2</v>
      </c>
      <c r="G182">
        <v>-0.10241356288812048</v>
      </c>
      <c r="H182">
        <f t="shared" si="5"/>
        <v>8.4526385192697451E-6</v>
      </c>
    </row>
    <row r="183" spans="1:8" x14ac:dyDescent="0.2">
      <c r="A183">
        <v>-6.0127545490010273E-2</v>
      </c>
      <c r="B183">
        <v>-5.5684152637630061E-2</v>
      </c>
      <c r="C183">
        <v>-0.16520466520568772</v>
      </c>
      <c r="D183">
        <v>-0.12981481238656936</v>
      </c>
      <c r="E183">
        <v>-5.6400218187953287E-2</v>
      </c>
      <c r="F183">
        <f t="shared" si="4"/>
        <v>-7.26414016333497E-2</v>
      </c>
      <c r="G183">
        <v>-7.3324825971395322E-2</v>
      </c>
      <c r="H183">
        <f t="shared" si="5"/>
        <v>4.6706882583309554E-7</v>
      </c>
    </row>
    <row r="184" spans="1:8" x14ac:dyDescent="0.2">
      <c r="A184">
        <v>6.351135421542183E-4</v>
      </c>
      <c r="B184">
        <v>-1.9109484929504358E-2</v>
      </c>
      <c r="C184">
        <v>1.7731247223090997E-3</v>
      </c>
      <c r="D184">
        <v>-1.8555615134510681E-2</v>
      </c>
      <c r="E184">
        <v>-1.3338902978859091E-2</v>
      </c>
      <c r="F184">
        <f t="shared" si="4"/>
        <v>-6.70005663035525E-3</v>
      </c>
      <c r="G184">
        <v>-2.5165949300727151E-3</v>
      </c>
      <c r="H184">
        <f t="shared" si="5"/>
        <v>1.7501351797730836E-5</v>
      </c>
    </row>
    <row r="185" spans="1:8" x14ac:dyDescent="0.2">
      <c r="A185">
        <v>-0.12189722710231153</v>
      </c>
      <c r="B185">
        <v>-0.11182868504104845</v>
      </c>
      <c r="C185">
        <v>-0.27969397874968888</v>
      </c>
      <c r="D185">
        <v>-0.16708265493852742</v>
      </c>
      <c r="E185">
        <v>-4.925164668603571E-2</v>
      </c>
      <c r="F185">
        <f t="shared" si="4"/>
        <v>-0.12092855277829631</v>
      </c>
      <c r="G185">
        <v>-0.11854823779476767</v>
      </c>
      <c r="H185">
        <f t="shared" si="5"/>
        <v>5.6658994208109589E-6</v>
      </c>
    </row>
    <row r="186" spans="1:8" x14ac:dyDescent="0.2">
      <c r="A186">
        <v>6.5225132773173988E-2</v>
      </c>
      <c r="B186">
        <v>5.3735137089417344E-2</v>
      </c>
      <c r="C186">
        <v>0.11058651245218228</v>
      </c>
      <c r="D186">
        <v>0.10188176833622518</v>
      </c>
      <c r="E186">
        <v>-9.2533842499417429E-2</v>
      </c>
      <c r="F186">
        <f t="shared" si="4"/>
        <v>3.1607461502248413E-2</v>
      </c>
      <c r="G186">
        <v>4.9944045553775275E-2</v>
      </c>
      <c r="H186">
        <f t="shared" si="5"/>
        <v>3.3623031467870928E-4</v>
      </c>
    </row>
    <row r="187" spans="1:8" x14ac:dyDescent="0.2">
      <c r="A187">
        <v>3.8799144651974732E-2</v>
      </c>
      <c r="B187">
        <v>9.2831874641281457E-3</v>
      </c>
      <c r="C187">
        <v>3.7206231276258647E-2</v>
      </c>
      <c r="D187">
        <v>2.3468483022428578E-2</v>
      </c>
      <c r="E187">
        <v>2.1259655447157921E-2</v>
      </c>
      <c r="F187">
        <f t="shared" si="4"/>
        <v>2.8981506625893629E-2</v>
      </c>
      <c r="G187">
        <v>3.3272780366137789E-2</v>
      </c>
      <c r="H187">
        <f t="shared" si="5"/>
        <v>1.8415030313709095E-5</v>
      </c>
    </row>
    <row r="188" spans="1:8" x14ac:dyDescent="0.2">
      <c r="A188">
        <v>-0.10515250114467509</v>
      </c>
      <c r="B188">
        <v>-6.4133329365411385E-2</v>
      </c>
      <c r="C188">
        <v>-0.12099137401554445</v>
      </c>
      <c r="D188">
        <v>-6.9187102097316655E-2</v>
      </c>
      <c r="E188">
        <v>-6.7002097615694228E-2</v>
      </c>
      <c r="F188">
        <f t="shared" si="4"/>
        <v>-8.9261622794078468E-2</v>
      </c>
      <c r="G188">
        <v>-9.1886587804910269E-2</v>
      </c>
      <c r="H188">
        <f t="shared" si="5"/>
        <v>6.8904413080911954E-6</v>
      </c>
    </row>
    <row r="189" spans="1:8" x14ac:dyDescent="0.2">
      <c r="A189">
        <v>-4.1001490694948239E-2</v>
      </c>
      <c r="B189">
        <v>-8.9056923614881767E-2</v>
      </c>
      <c r="C189">
        <v>-4.2624100248777878E-2</v>
      </c>
      <c r="D189">
        <v>-4.9245958193477407E-2</v>
      </c>
      <c r="E189">
        <v>-5.6680656770167183E-2</v>
      </c>
      <c r="F189">
        <f t="shared" si="4"/>
        <v>-5.2929674241162121E-2</v>
      </c>
      <c r="G189">
        <v>-4.695566837011355E-2</v>
      </c>
      <c r="H189">
        <f t="shared" si="5"/>
        <v>3.5688746147322796E-5</v>
      </c>
    </row>
    <row r="190" spans="1:8" x14ac:dyDescent="0.2">
      <c r="A190">
        <v>-1.8433922012114141E-2</v>
      </c>
      <c r="B190">
        <v>-2.2793998857878341E-2</v>
      </c>
      <c r="C190">
        <v>-7.3341612830578898E-2</v>
      </c>
      <c r="D190">
        <v>-5.1348924824852753E-2</v>
      </c>
      <c r="E190">
        <v>4.524683441634615E-3</v>
      </c>
      <c r="F190">
        <f t="shared" si="4"/>
        <v>-2.0755478510503241E-2</v>
      </c>
      <c r="G190">
        <v>-2.0345170874474978E-2</v>
      </c>
      <c r="H190">
        <f t="shared" si="5"/>
        <v>1.6835235618310189E-7</v>
      </c>
    </row>
    <row r="191" spans="1:8" x14ac:dyDescent="0.2">
      <c r="A191">
        <v>1.9177926067074731E-3</v>
      </c>
      <c r="B191">
        <v>-1.4451971800748354E-2</v>
      </c>
      <c r="C191">
        <v>-4.4576300167957751E-2</v>
      </c>
      <c r="D191">
        <v>-4.3891838978067213E-2</v>
      </c>
      <c r="E191">
        <v>-5.6976026548141101E-2</v>
      </c>
      <c r="F191">
        <f t="shared" si="4"/>
        <v>-2.1923673374625398E-2</v>
      </c>
      <c r="G191">
        <v>-1.163655991329716E-2</v>
      </c>
      <c r="H191">
        <f t="shared" si="5"/>
        <v>1.0582470336624065E-4</v>
      </c>
    </row>
    <row r="192" spans="1:8" x14ac:dyDescent="0.2">
      <c r="A192">
        <v>1.7087479236098775E-2</v>
      </c>
      <c r="B192">
        <v>3.3800366991355253E-2</v>
      </c>
      <c r="C192">
        <v>0.14010621204545468</v>
      </c>
      <c r="D192">
        <v>8.0444781226073431E-2</v>
      </c>
      <c r="E192">
        <v>-6.9851998960727399E-2</v>
      </c>
      <c r="F192">
        <f t="shared" si="4"/>
        <v>1.4255691489577744E-2</v>
      </c>
      <c r="G192">
        <v>2.0920852707734337E-2</v>
      </c>
      <c r="H192">
        <f t="shared" si="5"/>
        <v>4.4424374064018679E-5</v>
      </c>
    </row>
    <row r="193" spans="1:8" x14ac:dyDescent="0.2">
      <c r="A193">
        <v>4.0335041180506945E-2</v>
      </c>
      <c r="B193">
        <v>4.6321192303039174E-2</v>
      </c>
      <c r="C193">
        <v>4.5207952638804692E-2</v>
      </c>
      <c r="D193">
        <v>4.8610365886768578E-2</v>
      </c>
      <c r="E193">
        <v>3.6775208628676989E-2</v>
      </c>
      <c r="F193">
        <f t="shared" si="4"/>
        <v>4.1320044967347702E-2</v>
      </c>
      <c r="G193">
        <v>4.2936681505493943E-2</v>
      </c>
      <c r="H193">
        <f t="shared" si="5"/>
        <v>2.613513696469461E-6</v>
      </c>
    </row>
    <row r="194" spans="1:8" x14ac:dyDescent="0.2">
      <c r="A194">
        <v>3.772441170733741E-2</v>
      </c>
      <c r="B194">
        <v>3.3548484578400671E-2</v>
      </c>
      <c r="C194">
        <v>7.3017282711071524E-2</v>
      </c>
      <c r="D194">
        <v>3.6611301283376391E-2</v>
      </c>
      <c r="E194">
        <v>9.7715553051707413E-2</v>
      </c>
      <c r="F194">
        <f t="shared" si="4"/>
        <v>5.5121170144352714E-2</v>
      </c>
      <c r="G194">
        <v>4.2351939638275778E-2</v>
      </c>
      <c r="H194">
        <f t="shared" si="5"/>
        <v>1.6305324771732587E-4</v>
      </c>
    </row>
    <row r="195" spans="1:8" x14ac:dyDescent="0.2">
      <c r="A195">
        <v>3.5697142425519794E-2</v>
      </c>
      <c r="B195">
        <v>2.3365564178055055E-2</v>
      </c>
      <c r="C195">
        <v>7.6181154410540408E-2</v>
      </c>
      <c r="D195">
        <v>3.5997074534087722E-2</v>
      </c>
      <c r="E195">
        <v>5.8409278189405785E-2</v>
      </c>
      <c r="F195">
        <f t="shared" si="4"/>
        <v>4.3373036901463019E-2</v>
      </c>
      <c r="G195">
        <v>3.7652252952872813E-2</v>
      </c>
      <c r="H195">
        <f t="shared" si="5"/>
        <v>3.2727368986447354E-5</v>
      </c>
    </row>
    <row r="196" spans="1:8" x14ac:dyDescent="0.2">
      <c r="A196">
        <v>6.992112107742963E-3</v>
      </c>
      <c r="B196">
        <v>-2.3827920301520332E-2</v>
      </c>
      <c r="C196">
        <v>-2.6842851800187736E-2</v>
      </c>
      <c r="D196">
        <v>-2.689627506923164E-3</v>
      </c>
      <c r="E196">
        <v>9.0063154224512137E-2</v>
      </c>
      <c r="F196">
        <f t="shared" si="4"/>
        <v>1.8376067268206283E-2</v>
      </c>
      <c r="G196">
        <v>9.5742365141128494E-3</v>
      </c>
      <c r="H196">
        <f t="shared" si="5"/>
        <v>7.7472224623704978E-5</v>
      </c>
    </row>
    <row r="197" spans="1:8" x14ac:dyDescent="0.2">
      <c r="A197">
        <v>-5.1894148808154419E-2</v>
      </c>
      <c r="B197">
        <v>-6.1479458336427713E-3</v>
      </c>
      <c r="C197">
        <v>-4.6252540997612064E-2</v>
      </c>
      <c r="D197">
        <v>-3.4640356705664774E-2</v>
      </c>
      <c r="E197">
        <v>1.5407025419351688E-2</v>
      </c>
      <c r="F197">
        <f t="shared" si="4"/>
        <v>-2.6960058162071275E-2</v>
      </c>
      <c r="G197">
        <v>-3.4146164003858177E-2</v>
      </c>
      <c r="H197">
        <f t="shared" si="5"/>
        <v>5.1640117169363845E-5</v>
      </c>
    </row>
    <row r="198" spans="1:8" x14ac:dyDescent="0.2">
      <c r="A198">
        <v>5.4351930988793803E-2</v>
      </c>
      <c r="B198">
        <v>6.4877860209471547E-2</v>
      </c>
      <c r="C198">
        <v>0.11283467123898344</v>
      </c>
      <c r="D198">
        <v>6.6457996723200338E-2</v>
      </c>
      <c r="E198">
        <v>4.5025617035521902E-2</v>
      </c>
      <c r="F198">
        <f t="shared" si="4"/>
        <v>6.0265948934824426E-2</v>
      </c>
      <c r="G198">
        <v>5.7044837396665687E-2</v>
      </c>
      <c r="H198">
        <f t="shared" si="5"/>
        <v>1.0375559541259355E-5</v>
      </c>
    </row>
    <row r="199" spans="1:8" x14ac:dyDescent="0.2">
      <c r="A199">
        <v>-4.1015173638922459E-2</v>
      </c>
      <c r="B199">
        <v>-2.3489719079886923E-2</v>
      </c>
      <c r="C199">
        <v>2.8140414656857137E-3</v>
      </c>
      <c r="D199">
        <v>1.3539099383349795E-3</v>
      </c>
      <c r="E199">
        <v>-8.0460643391752698E-2</v>
      </c>
      <c r="F199">
        <f t="shared" si="4"/>
        <v>-4.1267626974291462E-2</v>
      </c>
      <c r="G199">
        <v>-3.5262616097164586E-2</v>
      </c>
      <c r="H199">
        <f t="shared" si="5"/>
        <v>3.6060155634412093E-5</v>
      </c>
    </row>
    <row r="200" spans="1:8" x14ac:dyDescent="0.2">
      <c r="A200">
        <v>2.1748264705103267E-2</v>
      </c>
      <c r="B200">
        <v>4.4491954784088891E-2</v>
      </c>
      <c r="C200">
        <v>8.0596853743612501E-2</v>
      </c>
      <c r="D200">
        <v>5.9180558303501579E-2</v>
      </c>
      <c r="E200">
        <v>3.9386426743693088E-2</v>
      </c>
      <c r="F200">
        <f t="shared" si="4"/>
        <v>3.7422402397850975E-2</v>
      </c>
      <c r="G200">
        <v>3.2676676608204266E-2</v>
      </c>
      <c r="H200">
        <f t="shared" si="5"/>
        <v>2.2521913270517875E-5</v>
      </c>
    </row>
    <row r="201" spans="1:8" x14ac:dyDescent="0.2">
      <c r="A201">
        <v>1.6706429469716195E-2</v>
      </c>
      <c r="B201">
        <v>-3.6132318810931778E-3</v>
      </c>
      <c r="C201">
        <v>8.8114294290012642E-3</v>
      </c>
      <c r="D201">
        <v>7.2715537259189734E-3</v>
      </c>
      <c r="E201">
        <v>1.7746339604429208E-2</v>
      </c>
      <c r="F201">
        <f t="shared" ref="F201:F243" si="6">SUMPRODUCT($A$6:$E$6,$A201:$E201)</f>
        <v>1.2494702535505688E-2</v>
      </c>
      <c r="G201">
        <v>1.5134524906115185E-2</v>
      </c>
      <c r="H201">
        <f t="shared" ref="H201:H264" si="7">(F201-G201)^2</f>
        <v>6.9686621483703408E-6</v>
      </c>
    </row>
    <row r="202" spans="1:8" x14ac:dyDescent="0.2">
      <c r="A202">
        <v>4.0847667697785368E-2</v>
      </c>
      <c r="B202">
        <v>7.2082819723070721E-2</v>
      </c>
      <c r="C202">
        <v>2.2110442605655308E-2</v>
      </c>
      <c r="D202">
        <v>5.5573233792489581E-2</v>
      </c>
      <c r="E202">
        <v>2.7300251365653453E-2</v>
      </c>
      <c r="F202">
        <f t="shared" si="6"/>
        <v>4.1314920789737752E-2</v>
      </c>
      <c r="G202">
        <v>4.5870323382111201E-2</v>
      </c>
      <c r="H202">
        <f t="shared" si="7"/>
        <v>2.0751692778602739E-5</v>
      </c>
    </row>
    <row r="203" spans="1:8" x14ac:dyDescent="0.2">
      <c r="A203">
        <v>5.1109362283913709E-3</v>
      </c>
      <c r="B203">
        <v>-9.4789664360090137E-3</v>
      </c>
      <c r="C203">
        <v>-2.6114369759521586E-2</v>
      </c>
      <c r="D203">
        <v>-1.3825566581601622E-2</v>
      </c>
      <c r="E203">
        <v>0.14418174446019422</v>
      </c>
      <c r="F203">
        <f t="shared" si="6"/>
        <v>3.2417996570841497E-2</v>
      </c>
      <c r="G203">
        <v>1.3513902022113337E-2</v>
      </c>
      <c r="H203">
        <f t="shared" si="7"/>
        <v>3.5736479070725373E-4</v>
      </c>
    </row>
    <row r="204" spans="1:8" x14ac:dyDescent="0.2">
      <c r="A204">
        <v>-1.75338412997668E-2</v>
      </c>
      <c r="B204">
        <v>-9.9362132534709224E-3</v>
      </c>
      <c r="C204">
        <v>-4.565454098787159E-3</v>
      </c>
      <c r="D204">
        <v>-1.3478902649532521E-2</v>
      </c>
      <c r="E204">
        <v>-5.6866989516586787E-2</v>
      </c>
      <c r="F204">
        <f t="shared" si="6"/>
        <v>-2.4358368754728434E-2</v>
      </c>
      <c r="G204">
        <v>-2.3354323555030584E-2</v>
      </c>
      <c r="H204">
        <f t="shared" si="7"/>
        <v>1.0081067630362966E-6</v>
      </c>
    </row>
    <row r="205" spans="1:8" x14ac:dyDescent="0.2">
      <c r="A205">
        <v>-4.7066464992745596E-4</v>
      </c>
      <c r="B205">
        <v>6.5102866457175694E-3</v>
      </c>
      <c r="C205">
        <v>-1.2066039394293782E-2</v>
      </c>
      <c r="D205">
        <v>4.8434615775990496E-3</v>
      </c>
      <c r="E205">
        <v>-4.8300281538699544E-2</v>
      </c>
      <c r="F205">
        <f t="shared" si="6"/>
        <v>-1.1872341853518074E-2</v>
      </c>
      <c r="G205">
        <v>-5.3857851756997773E-3</v>
      </c>
      <c r="H205">
        <f t="shared" si="7"/>
        <v>4.2075417534549137E-5</v>
      </c>
    </row>
    <row r="206" spans="1:8" x14ac:dyDescent="0.2">
      <c r="A206">
        <v>7.418632032369179E-3</v>
      </c>
      <c r="B206">
        <v>-1.2201652186970151E-2</v>
      </c>
      <c r="C206">
        <v>1.6880612276299601E-2</v>
      </c>
      <c r="D206">
        <v>3.9411981193805574E-3</v>
      </c>
      <c r="E206">
        <v>4.2317469058260088E-2</v>
      </c>
      <c r="F206">
        <f t="shared" si="6"/>
        <v>1.3576495019487655E-2</v>
      </c>
      <c r="G206">
        <v>9.0563566522429209E-3</v>
      </c>
      <c r="H206">
        <f t="shared" si="7"/>
        <v>2.0431650859037894E-5</v>
      </c>
    </row>
    <row r="207" spans="1:8" x14ac:dyDescent="0.2">
      <c r="A207">
        <v>-2.9764663521774738E-2</v>
      </c>
      <c r="B207">
        <v>-4.6628673697898249E-3</v>
      </c>
      <c r="C207">
        <v>-4.4246315490047171E-2</v>
      </c>
      <c r="D207">
        <v>-2.5393980447620566E-2</v>
      </c>
      <c r="E207">
        <v>-5.5000171525356426E-2</v>
      </c>
      <c r="F207">
        <f t="shared" si="6"/>
        <v>-3.3182054892854036E-2</v>
      </c>
      <c r="G207">
        <v>-2.7868607115397171E-2</v>
      </c>
      <c r="H207">
        <f t="shared" si="7"/>
        <v>2.8232727283761301E-5</v>
      </c>
    </row>
    <row r="208" spans="1:8" x14ac:dyDescent="0.2">
      <c r="A208">
        <v>6.4647227860111498E-4</v>
      </c>
      <c r="B208">
        <v>-4.1218033261596681E-3</v>
      </c>
      <c r="C208">
        <v>-2.164019938473211E-2</v>
      </c>
      <c r="D208">
        <v>-4.3986385406999465E-3</v>
      </c>
      <c r="E208">
        <v>4.379156629931844E-3</v>
      </c>
      <c r="F208">
        <f t="shared" si="6"/>
        <v>-1.704537223661258E-3</v>
      </c>
      <c r="G208">
        <v>-1.3593723739798992E-4</v>
      </c>
      <c r="H208">
        <f t="shared" si="7"/>
        <v>2.4605059169051249E-6</v>
      </c>
    </row>
    <row r="209" spans="1:8" x14ac:dyDescent="0.2">
      <c r="A209">
        <v>-1.3440880692798897E-2</v>
      </c>
      <c r="B209">
        <v>7.1140171372931719E-3</v>
      </c>
      <c r="C209">
        <v>2.8565968914085756E-2</v>
      </c>
      <c r="D209">
        <v>1.0446343136997292E-2</v>
      </c>
      <c r="E209">
        <v>-4.9459955412765065E-2</v>
      </c>
      <c r="F209">
        <f t="shared" si="6"/>
        <v>-1.3496552066110076E-2</v>
      </c>
      <c r="G209">
        <v>-5.3367803580850566E-3</v>
      </c>
      <c r="H209">
        <f t="shared" si="7"/>
        <v>6.6581874327085563E-5</v>
      </c>
    </row>
    <row r="210" spans="1:8" x14ac:dyDescent="0.2">
      <c r="A210">
        <v>-2.451072095623856E-2</v>
      </c>
      <c r="B210">
        <v>-1.5092714146639407E-2</v>
      </c>
      <c r="C210">
        <v>1.3896384674431798E-3</v>
      </c>
      <c r="D210">
        <v>2.3361026161985619E-3</v>
      </c>
      <c r="E210">
        <v>-1.3552763291733175E-2</v>
      </c>
      <c r="F210">
        <f t="shared" si="6"/>
        <v>-1.6411548458510939E-2</v>
      </c>
      <c r="G210">
        <v>-1.5001228600383127E-2</v>
      </c>
      <c r="H210">
        <f t="shared" si="7"/>
        <v>1.989002102229652E-6</v>
      </c>
    </row>
    <row r="211" spans="1:8" x14ac:dyDescent="0.2">
      <c r="A211">
        <v>7.4972607380281199E-3</v>
      </c>
      <c r="B211">
        <v>2.7877129490901941E-2</v>
      </c>
      <c r="C211">
        <v>5.3548132849465399E-2</v>
      </c>
      <c r="D211">
        <v>2.4872575502637231E-2</v>
      </c>
      <c r="E211">
        <v>1.5971615920300587E-2</v>
      </c>
      <c r="F211">
        <f t="shared" si="6"/>
        <v>1.8280534553889092E-2</v>
      </c>
      <c r="G211">
        <v>1.8698234493788043E-2</v>
      </c>
      <c r="H211">
        <f t="shared" si="7"/>
        <v>1.7447323979158717E-7</v>
      </c>
    </row>
    <row r="212" spans="1:8" x14ac:dyDescent="0.2">
      <c r="A212">
        <v>5.4197283633184733E-2</v>
      </c>
      <c r="B212">
        <v>5.2324580905824473E-2</v>
      </c>
      <c r="C212">
        <v>7.3781616183552751E-2</v>
      </c>
      <c r="D212">
        <v>6.1103857933389641E-2</v>
      </c>
      <c r="E212">
        <v>7.0976849898471306E-2</v>
      </c>
      <c r="F212">
        <f t="shared" si="6"/>
        <v>6.0296079384114326E-2</v>
      </c>
      <c r="G212">
        <v>5.7914563650117795E-2</v>
      </c>
      <c r="H212">
        <f t="shared" si="7"/>
        <v>5.6716171912730354E-6</v>
      </c>
    </row>
    <row r="213" spans="1:8" x14ac:dyDescent="0.2">
      <c r="A213">
        <v>-1.7616695917219389E-2</v>
      </c>
      <c r="B213">
        <v>7.4045790485276967E-4</v>
      </c>
      <c r="C213">
        <v>-3.3549116003683904E-2</v>
      </c>
      <c r="D213">
        <v>-8.4295423256663289E-3</v>
      </c>
      <c r="E213">
        <v>-1.5099776923575135E-2</v>
      </c>
      <c r="F213">
        <f t="shared" si="6"/>
        <v>-1.5273316784710844E-2</v>
      </c>
      <c r="G213">
        <v>-1.493438482196641E-2</v>
      </c>
      <c r="H213">
        <f t="shared" si="7"/>
        <v>1.1487487536979402E-7</v>
      </c>
    </row>
    <row r="214" spans="1:8" x14ac:dyDescent="0.2">
      <c r="A214">
        <v>5.4110999180169879E-3</v>
      </c>
      <c r="B214">
        <v>3.0197359809885901E-2</v>
      </c>
      <c r="C214">
        <v>2.6648847505283221E-2</v>
      </c>
      <c r="D214">
        <v>3.5141819566969261E-2</v>
      </c>
      <c r="E214">
        <v>7.0516861774027138E-3</v>
      </c>
      <c r="F214">
        <f t="shared" si="6"/>
        <v>1.3339879213677802E-2</v>
      </c>
      <c r="G214">
        <v>1.6495404338761628E-2</v>
      </c>
      <c r="H214">
        <f t="shared" si="7"/>
        <v>9.9573388150352978E-6</v>
      </c>
    </row>
    <row r="215" spans="1:8" x14ac:dyDescent="0.2">
      <c r="A215">
        <v>9.4772028011567793E-4</v>
      </c>
      <c r="B215">
        <v>-1.5493344627665212E-2</v>
      </c>
      <c r="C215">
        <v>-4.4604108405852522E-3</v>
      </c>
      <c r="D215">
        <v>5.1355776998829768E-3</v>
      </c>
      <c r="E215">
        <v>-7.9910943918391503E-3</v>
      </c>
      <c r="F215">
        <f t="shared" si="6"/>
        <v>-4.1394230317915127E-3</v>
      </c>
      <c r="G215">
        <v>-3.4016888785080896E-3</v>
      </c>
      <c r="H215">
        <f t="shared" si="7"/>
        <v>5.4425168092080928E-7</v>
      </c>
    </row>
    <row r="216" spans="1:8" x14ac:dyDescent="0.2">
      <c r="A216">
        <v>-2.4516862371252204E-4</v>
      </c>
      <c r="B216">
        <v>6.7621126567988746E-3</v>
      </c>
      <c r="C216">
        <v>-4.0032769427534948E-2</v>
      </c>
      <c r="D216">
        <v>-2.7334541521099851E-2</v>
      </c>
      <c r="E216">
        <v>-6.9218097899974677E-3</v>
      </c>
      <c r="F216">
        <f t="shared" si="6"/>
        <v>-6.1422284172919506E-3</v>
      </c>
      <c r="G216">
        <v>-5.0247314197502269E-3</v>
      </c>
      <c r="H216">
        <f t="shared" si="7"/>
        <v>1.248799539514767E-6</v>
      </c>
    </row>
    <row r="217" spans="1:8" x14ac:dyDescent="0.2">
      <c r="A217">
        <v>7.4024595979127222E-2</v>
      </c>
      <c r="B217">
        <v>3.088298991252247E-2</v>
      </c>
      <c r="C217">
        <v>5.7187261116445127E-2</v>
      </c>
      <c r="D217">
        <v>5.2736591718785905E-2</v>
      </c>
      <c r="E217">
        <v>3.4300607405205755E-2</v>
      </c>
      <c r="F217">
        <f t="shared" si="6"/>
        <v>5.4849269158845304E-2</v>
      </c>
      <c r="G217">
        <v>5.867629765196989E-2</v>
      </c>
      <c r="H217">
        <f t="shared" si="7"/>
        <v>1.464614708718744E-5</v>
      </c>
    </row>
    <row r="218" spans="1:8" x14ac:dyDescent="0.2">
      <c r="A218">
        <v>1.0376739371578769E-2</v>
      </c>
      <c r="B218">
        <v>2.2147870204525185E-2</v>
      </c>
      <c r="C218">
        <v>1.8165724077109799E-2</v>
      </c>
      <c r="D218">
        <v>1.6276187769997199E-2</v>
      </c>
      <c r="E218">
        <v>8.0988097617090086E-3</v>
      </c>
      <c r="F218">
        <f t="shared" si="6"/>
        <v>1.2757392282369651E-2</v>
      </c>
      <c r="G218">
        <v>1.652516306302312E-2</v>
      </c>
      <c r="H218">
        <f t="shared" si="7"/>
        <v>1.4196096655546052E-5</v>
      </c>
    </row>
    <row r="219" spans="1:8" x14ac:dyDescent="0.2">
      <c r="A219">
        <v>1.4868061088906816E-2</v>
      </c>
      <c r="B219">
        <v>-8.5507940035853096E-3</v>
      </c>
      <c r="C219">
        <v>4.6495701222432136E-2</v>
      </c>
      <c r="D219">
        <v>3.4404970012382553E-2</v>
      </c>
      <c r="E219">
        <v>-1.0996135964665532E-2</v>
      </c>
      <c r="F219">
        <f t="shared" si="6"/>
        <v>9.096239002791575E-3</v>
      </c>
      <c r="G219">
        <v>1.2804085239191521E-2</v>
      </c>
      <c r="H219">
        <f t="shared" si="7"/>
        <v>1.3748123712785241E-5</v>
      </c>
    </row>
    <row r="220" spans="1:8" x14ac:dyDescent="0.2">
      <c r="A220">
        <v>-6.4109184374573002E-3</v>
      </c>
      <c r="B220">
        <v>2.7833599957442598E-2</v>
      </c>
      <c r="C220">
        <v>8.1233001878044647E-3</v>
      </c>
      <c r="D220">
        <v>7.7337980124609828E-3</v>
      </c>
      <c r="E220">
        <v>7.213391361691282E-2</v>
      </c>
      <c r="F220">
        <f t="shared" si="6"/>
        <v>2.0184496997488224E-2</v>
      </c>
      <c r="G220">
        <v>1.0554999767604205E-2</v>
      </c>
      <c r="H220">
        <f t="shared" si="7"/>
        <v>9.2727216900343994E-5</v>
      </c>
    </row>
    <row r="221" spans="1:8" x14ac:dyDescent="0.2">
      <c r="A221">
        <v>2.4834554021438769E-2</v>
      </c>
      <c r="B221">
        <v>3.3537498730254224E-2</v>
      </c>
      <c r="C221">
        <v>3.9794981558136398E-2</v>
      </c>
      <c r="D221">
        <v>4.2384275800102567E-2</v>
      </c>
      <c r="E221">
        <v>0.11153606251740317</v>
      </c>
      <c r="F221">
        <f t="shared" si="6"/>
        <v>4.960692732959187E-2</v>
      </c>
      <c r="G221">
        <v>4.1870899274074717E-2</v>
      </c>
      <c r="H221">
        <f t="shared" si="7"/>
        <v>5.9846130075748494E-5</v>
      </c>
    </row>
    <row r="222" spans="1:8" x14ac:dyDescent="0.2">
      <c r="A222">
        <v>1.9585934056298962E-3</v>
      </c>
      <c r="B222">
        <v>-1.2045108037082477E-2</v>
      </c>
      <c r="C222">
        <v>-1.1806941587946995E-2</v>
      </c>
      <c r="D222">
        <v>-2.4356506654417645E-2</v>
      </c>
      <c r="E222">
        <v>7.3552466840016663E-3</v>
      </c>
      <c r="F222">
        <f t="shared" si="6"/>
        <v>-1.6436258902298622E-3</v>
      </c>
      <c r="G222">
        <v>-5.5975012829598486E-3</v>
      </c>
      <c r="H222">
        <f t="shared" si="7"/>
        <v>1.5633130621235705E-5</v>
      </c>
    </row>
    <row r="223" spans="1:8" x14ac:dyDescent="0.2">
      <c r="A223">
        <v>3.1009468633199644E-2</v>
      </c>
      <c r="B223">
        <v>-6.1655606896922491E-3</v>
      </c>
      <c r="C223">
        <v>2.8469284832003412E-2</v>
      </c>
      <c r="D223">
        <v>8.6697017412161997E-3</v>
      </c>
      <c r="E223">
        <v>3.5621628758604203E-2</v>
      </c>
      <c r="F223">
        <f t="shared" si="6"/>
        <v>2.4910299981103751E-2</v>
      </c>
      <c r="G223">
        <v>2.4862533155789544E-2</v>
      </c>
      <c r="H223">
        <f t="shared" si="7"/>
        <v>2.28166960059797E-9</v>
      </c>
    </row>
    <row r="224" spans="1:8" x14ac:dyDescent="0.2">
      <c r="A224">
        <v>-2.2858208614955508E-2</v>
      </c>
      <c r="B224">
        <v>5.6567284822832088E-3</v>
      </c>
      <c r="C224">
        <v>1.8206057317048868E-2</v>
      </c>
      <c r="D224">
        <v>1.1576091333385134E-2</v>
      </c>
      <c r="E224">
        <v>5.9841533686654264E-2</v>
      </c>
      <c r="F224">
        <f t="shared" si="6"/>
        <v>7.5426969761616053E-3</v>
      </c>
      <c r="G224">
        <v>-9.0779268076056905E-4</v>
      </c>
      <c r="H224">
        <f t="shared" si="7"/>
        <v>7.1410775441748664E-5</v>
      </c>
    </row>
    <row r="225" spans="1:8" x14ac:dyDescent="0.2">
      <c r="A225">
        <v>4.1392455596126226E-2</v>
      </c>
      <c r="B225">
        <v>7.295299957117439E-2</v>
      </c>
      <c r="C225">
        <v>9.4736278401494817E-2</v>
      </c>
      <c r="D225">
        <v>9.3360452086618584E-2</v>
      </c>
      <c r="E225">
        <v>6.4622547150577497E-2</v>
      </c>
      <c r="F225">
        <f t="shared" si="6"/>
        <v>5.9978438312137089E-2</v>
      </c>
      <c r="G225">
        <v>5.858405906597363E-2</v>
      </c>
      <c r="H225">
        <f t="shared" si="7"/>
        <v>1.9442934821313757E-6</v>
      </c>
    </row>
    <row r="226" spans="1:8" x14ac:dyDescent="0.2">
      <c r="A226">
        <v>-8.5240532109286914E-3</v>
      </c>
      <c r="B226">
        <v>-1.7346113147705088E-2</v>
      </c>
      <c r="C226">
        <v>-2.3164341116710565E-3</v>
      </c>
      <c r="D226">
        <v>-1.8375775559110245E-2</v>
      </c>
      <c r="E226">
        <v>-1.6075113836541099E-2</v>
      </c>
      <c r="F226">
        <f t="shared" si="6"/>
        <v>-1.1605930349752214E-2</v>
      </c>
      <c r="G226">
        <v>-1.0210477040176963E-2</v>
      </c>
      <c r="H226">
        <f t="shared" si="7"/>
        <v>1.9472899392045199E-6</v>
      </c>
    </row>
    <row r="227" spans="1:8" x14ac:dyDescent="0.2">
      <c r="A227">
        <v>-8.785345247528482E-3</v>
      </c>
      <c r="B227">
        <v>6.4141024735310536E-4</v>
      </c>
      <c r="C227">
        <v>2.2921602042778086E-2</v>
      </c>
      <c r="D227">
        <v>3.7096665540048722E-2</v>
      </c>
      <c r="E227">
        <v>-9.0170594947303593E-5</v>
      </c>
      <c r="F227">
        <f t="shared" si="6"/>
        <v>3.0709054883014956E-4</v>
      </c>
      <c r="G227">
        <v>-7.8793927883460003E-4</v>
      </c>
      <c r="H227">
        <f t="shared" si="7"/>
        <v>1.1990903234754913E-6</v>
      </c>
    </row>
    <row r="228" spans="1:8" x14ac:dyDescent="0.2">
      <c r="A228">
        <v>-2.758101512909579E-2</v>
      </c>
      <c r="B228">
        <v>1.6442382838562326E-2</v>
      </c>
      <c r="C228">
        <v>4.58170494106791E-3</v>
      </c>
      <c r="D228">
        <v>-6.0630260586325823E-3</v>
      </c>
      <c r="E228">
        <v>-1.1056989667153915E-2</v>
      </c>
      <c r="F228">
        <f t="shared" si="6"/>
        <v>-1.232859659759048E-2</v>
      </c>
      <c r="G228">
        <v>-1.1170859458823307E-2</v>
      </c>
      <c r="H228">
        <f t="shared" si="7"/>
        <v>1.3403552824807982E-6</v>
      </c>
    </row>
    <row r="229" spans="1:8" x14ac:dyDescent="0.2">
      <c r="A229">
        <v>-2.3853408661232561E-2</v>
      </c>
      <c r="B229">
        <v>-1.5106152054168976E-2</v>
      </c>
      <c r="C229">
        <v>-4.7237418770841616E-2</v>
      </c>
      <c r="D229">
        <v>-2.4483578130697015E-2</v>
      </c>
      <c r="E229">
        <v>-5.6091329131249992E-2</v>
      </c>
      <c r="F229">
        <f t="shared" si="6"/>
        <v>-3.2688479170417208E-2</v>
      </c>
      <c r="G229">
        <v>-2.9602709434472858E-2</v>
      </c>
      <c r="H229">
        <f t="shared" si="7"/>
        <v>9.5219748632700591E-6</v>
      </c>
    </row>
    <row r="230" spans="1:8" x14ac:dyDescent="0.2">
      <c r="A230">
        <v>-1.7284852549905138E-3</v>
      </c>
      <c r="B230">
        <v>5.6323985943665346E-3</v>
      </c>
      <c r="C230">
        <v>-1.3332192550359738E-2</v>
      </c>
      <c r="D230">
        <v>4.5613455927546922E-3</v>
      </c>
      <c r="E230">
        <v>-1.3093479948532166E-2</v>
      </c>
      <c r="F230">
        <f t="shared" si="6"/>
        <v>-4.1847921210545602E-3</v>
      </c>
      <c r="G230">
        <v>-3.3345337895056837E-3</v>
      </c>
      <c r="H230">
        <f t="shared" si="7"/>
        <v>7.2293923036827913E-7</v>
      </c>
    </row>
    <row r="231" spans="1:8" x14ac:dyDescent="0.2">
      <c r="A231">
        <v>2.0871281918814441E-3</v>
      </c>
      <c r="B231">
        <v>2.1671949643489972E-2</v>
      </c>
      <c r="C231">
        <v>-3.8859320359624794E-3</v>
      </c>
      <c r="D231">
        <v>5.4066985019321397E-3</v>
      </c>
      <c r="E231">
        <v>-5.8165688455425087E-3</v>
      </c>
      <c r="F231">
        <f t="shared" si="6"/>
        <v>2.8112242857419294E-3</v>
      </c>
      <c r="G231">
        <v>5.2788123045004231E-3</v>
      </c>
      <c r="H231">
        <f t="shared" si="7"/>
        <v>6.0889906303204679E-6</v>
      </c>
    </row>
    <row r="232" spans="1:8" x14ac:dyDescent="0.2">
      <c r="A232">
        <v>1.1500904560234679E-2</v>
      </c>
      <c r="B232">
        <v>7.0887717587964491E-3</v>
      </c>
      <c r="C232">
        <v>2.5713314461274193E-2</v>
      </c>
      <c r="D232">
        <v>2.2436416503991946E-2</v>
      </c>
      <c r="E232">
        <v>4.8090882813891988E-3</v>
      </c>
      <c r="F232">
        <f t="shared" si="6"/>
        <v>1.1170561688859758E-2</v>
      </c>
      <c r="G232">
        <v>1.3596588205826337E-2</v>
      </c>
      <c r="H232">
        <f t="shared" si="7"/>
        <v>5.8856046610249882E-6</v>
      </c>
    </row>
    <row r="233" spans="1:8" x14ac:dyDescent="0.2">
      <c r="A233">
        <v>3.052885431814055E-2</v>
      </c>
      <c r="B233">
        <v>1.8480185440742202E-4</v>
      </c>
      <c r="C233">
        <v>2.1529967199802821E-2</v>
      </c>
      <c r="D233">
        <v>1.5166045106863335E-2</v>
      </c>
      <c r="E233">
        <v>-1.4135077981349236E-2</v>
      </c>
      <c r="F233">
        <f t="shared" si="6"/>
        <v>1.3256587322172164E-2</v>
      </c>
      <c r="G233">
        <v>1.7192557209471569E-2</v>
      </c>
      <c r="H233">
        <f t="shared" si="7"/>
        <v>1.5491858953727692E-5</v>
      </c>
    </row>
    <row r="234" spans="1:8" x14ac:dyDescent="0.2">
      <c r="A234">
        <v>4.1768367757505448E-2</v>
      </c>
      <c r="B234">
        <v>5.7144433352860166E-2</v>
      </c>
      <c r="C234">
        <v>5.8031188471346785E-2</v>
      </c>
      <c r="D234">
        <v>3.567402193987209E-2</v>
      </c>
      <c r="E234">
        <v>2.637166050192925E-2</v>
      </c>
      <c r="F234">
        <f t="shared" si="6"/>
        <v>4.1792390798639951E-2</v>
      </c>
      <c r="G234">
        <v>4.4606824719682546E-2</v>
      </c>
      <c r="H234">
        <f t="shared" si="7"/>
        <v>7.9210382959151934E-6</v>
      </c>
    </row>
    <row r="235" spans="1:8" x14ac:dyDescent="0.2">
      <c r="A235">
        <v>-3.9740642760257364E-3</v>
      </c>
      <c r="B235">
        <v>-1.4051216518458714E-3</v>
      </c>
      <c r="C235">
        <v>2.3755712199487748E-2</v>
      </c>
      <c r="D235">
        <v>1.551453499515423E-2</v>
      </c>
      <c r="E235">
        <v>-1.4324329352139429E-2</v>
      </c>
      <c r="F235">
        <f t="shared" si="6"/>
        <v>-2.2988665648838468E-3</v>
      </c>
      <c r="G235">
        <v>1.220697796581851E-3</v>
      </c>
      <c r="H235">
        <f t="shared" si="7"/>
        <v>1.2387333294499445E-5</v>
      </c>
    </row>
    <row r="236" spans="1:8" x14ac:dyDescent="0.2">
      <c r="A236">
        <v>-1.4832687949668749E-2</v>
      </c>
      <c r="B236">
        <v>-1.0386132150539378E-3</v>
      </c>
      <c r="C236">
        <v>1.5048913045714351E-2</v>
      </c>
      <c r="D236">
        <v>9.0305583568131148E-3</v>
      </c>
      <c r="E236">
        <v>-1.3527171658114661E-3</v>
      </c>
      <c r="F236">
        <f t="shared" si="6"/>
        <v>-5.1814111716456963E-3</v>
      </c>
      <c r="G236">
        <v>-6.1124824846067296E-3</v>
      </c>
      <c r="H236">
        <f t="shared" si="7"/>
        <v>8.6689378981898243E-7</v>
      </c>
    </row>
    <row r="237" spans="1:8" x14ac:dyDescent="0.2">
      <c r="A237">
        <v>3.3268950367816498E-2</v>
      </c>
      <c r="B237">
        <v>1.4453903304826392E-2</v>
      </c>
      <c r="C237">
        <v>2.8446828773462066E-2</v>
      </c>
      <c r="D237">
        <v>1.3209243953299638E-2</v>
      </c>
      <c r="E237">
        <v>2.4706180618267789E-2</v>
      </c>
      <c r="F237">
        <f t="shared" si="6"/>
        <v>2.6745087039047134E-2</v>
      </c>
      <c r="G237">
        <v>2.748910587347532E-2</v>
      </c>
      <c r="H237">
        <f t="shared" si="7"/>
        <v>5.5356402598387549E-7</v>
      </c>
    </row>
    <row r="238" spans="1:8" x14ac:dyDescent="0.2">
      <c r="A238">
        <v>-2.6502067920743742E-2</v>
      </c>
      <c r="B238">
        <v>-1.0141482484280141E-2</v>
      </c>
      <c r="C238">
        <v>3.295384757415414E-3</v>
      </c>
      <c r="D238">
        <v>-5.4646550228888277E-3</v>
      </c>
      <c r="E238">
        <v>3.3514933307331372E-2</v>
      </c>
      <c r="F238">
        <f t="shared" si="6"/>
        <v>-5.3186670217409641E-3</v>
      </c>
      <c r="G238">
        <v>-1.2300145074066425E-2</v>
      </c>
      <c r="H238">
        <f t="shared" si="7"/>
        <v>4.8741035795102112E-5</v>
      </c>
    </row>
    <row r="239" spans="1:8" x14ac:dyDescent="0.2">
      <c r="A239">
        <v>-3.221084725438817E-3</v>
      </c>
      <c r="B239">
        <v>1.2414149056736785E-2</v>
      </c>
      <c r="C239">
        <v>3.0087894237330316E-2</v>
      </c>
      <c r="D239">
        <v>1.7548002735027411E-2</v>
      </c>
      <c r="E239">
        <v>-3.1274953766754238E-2</v>
      </c>
      <c r="F239">
        <f t="shared" si="6"/>
        <v>-3.1550651627763352E-3</v>
      </c>
      <c r="G239">
        <v>3.0345886151801342E-3</v>
      </c>
      <c r="H239">
        <f t="shared" si="7"/>
        <v>3.83118138909708E-5</v>
      </c>
    </row>
    <row r="240" spans="1:8" x14ac:dyDescent="0.2">
      <c r="A240">
        <v>2.0563125433118647E-2</v>
      </c>
      <c r="B240">
        <v>2.0565310429893898E-2</v>
      </c>
      <c r="C240">
        <v>6.263984046776816E-2</v>
      </c>
      <c r="D240">
        <v>5.6594273270758479E-2</v>
      </c>
      <c r="E240">
        <v>-4.0478548017553247E-2</v>
      </c>
      <c r="F240">
        <f t="shared" si="6"/>
        <v>1.1828453563034939E-2</v>
      </c>
      <c r="G240">
        <v>2.0714887934814807E-2</v>
      </c>
      <c r="H240">
        <f t="shared" si="7"/>
        <v>7.8968715843950651E-5</v>
      </c>
    </row>
    <row r="241" spans="1:8" x14ac:dyDescent="0.2">
      <c r="A241">
        <v>3.2616013056498833E-2</v>
      </c>
      <c r="B241">
        <v>1.3632981821276395E-2</v>
      </c>
      <c r="C241">
        <v>3.0700139165614985E-2</v>
      </c>
      <c r="D241">
        <v>8.7859208494140244E-3</v>
      </c>
      <c r="E241">
        <v>1.63485743898956E-2</v>
      </c>
      <c r="F241">
        <f t="shared" si="6"/>
        <v>2.43035473415598E-2</v>
      </c>
      <c r="G241">
        <v>2.4792683353361097E-2</v>
      </c>
      <c r="H241">
        <f t="shared" si="7"/>
        <v>2.3925403804087872E-7</v>
      </c>
    </row>
    <row r="242" spans="1:8" x14ac:dyDescent="0.2">
      <c r="A242">
        <v>-1.1252962319110361E-2</v>
      </c>
      <c r="B242">
        <v>1.6987641580713444E-2</v>
      </c>
      <c r="C242">
        <v>2.5261894826991576E-2</v>
      </c>
      <c r="D242">
        <v>-2.3475788697029324E-3</v>
      </c>
      <c r="E242">
        <v>3.8279457295650578E-3</v>
      </c>
      <c r="F242">
        <f t="shared" si="6"/>
        <v>9.7825402395278964E-4</v>
      </c>
      <c r="G242">
        <v>-2.1820837076362062E-3</v>
      </c>
      <c r="H242">
        <f t="shared" si="7"/>
        <v>9.9877345777050817E-6</v>
      </c>
    </row>
    <row r="243" spans="1:8" x14ac:dyDescent="0.2">
      <c r="A243">
        <v>-5.4357414664562287E-2</v>
      </c>
      <c r="B243">
        <v>-4.7676779524032382E-2</v>
      </c>
      <c r="C243">
        <v>-5.9194821663432401E-2</v>
      </c>
      <c r="D243">
        <v>-5.8594020214830421E-2</v>
      </c>
      <c r="E243">
        <v>-2.3960621366825571E-2</v>
      </c>
      <c r="F243">
        <f t="shared" si="6"/>
        <v>-4.6641923864970569E-2</v>
      </c>
      <c r="G243">
        <v>-4.4965702000618592E-2</v>
      </c>
      <c r="H243">
        <f t="shared" si="7"/>
        <v>2.8097197385316193E-6</v>
      </c>
    </row>
  </sheetData>
  <phoneticPr fontId="0" type="noConversion"/>
  <pageMargins left="0.78740157499999996" right="0.78740157499999996" top="0.984251969" bottom="0.984251969" header="0.4921259845" footer="0.492125984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procPortefRepliquant">
                <anchor moveWithCells="1" sizeWithCells="1">
                  <from>
                    <xdr:col>9</xdr:col>
                    <xdr:colOff>0</xdr:colOff>
                    <xdr:row>1</xdr:row>
                    <xdr:rowOff>9525</xdr:rowOff>
                  </from>
                  <to>
                    <xdr:col>11</xdr:col>
                    <xdr:colOff>0</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intro</vt:lpstr>
      <vt:lpstr>data</vt:lpstr>
      <vt:lpstr>calcul</vt:lpstr>
      <vt:lpstr>Contrainte</vt:lpstr>
      <vt:lpstr>Instruments</vt:lpstr>
      <vt:lpstr>Objectif</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Philippe Bernard</dc:creator>
  <cp:lastModifiedBy>Multimedia</cp:lastModifiedBy>
  <dcterms:created xsi:type="dcterms:W3CDTF">2008-12-14T11:13:00Z</dcterms:created>
  <dcterms:modified xsi:type="dcterms:W3CDTF">2016-02-17T17:20:06Z</dcterms:modified>
</cp:coreProperties>
</file>