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75" windowWidth="15195" windowHeight="8445" activeTab="2"/>
  </bookViews>
  <sheets>
    <sheet name="intro" sheetId="5" r:id="rId1"/>
    <sheet name="excel" sheetId="4" r:id="rId2"/>
    <sheet name="vba" sheetId="1" r:id="rId3"/>
  </sheets>
  <definedNames>
    <definedName name="cap_fin">vba!$G$4</definedName>
    <definedName name="cap_init">vba!$D$6</definedName>
    <definedName name="horizon">vba!$D$5</definedName>
    <definedName name="taux">vba!$D$4</definedName>
  </definedNames>
  <calcPr calcId="125725"/>
</workbook>
</file>

<file path=xl/calcChain.xml><?xml version="1.0" encoding="utf-8"?>
<calcChain xmlns="http://schemas.openxmlformats.org/spreadsheetml/2006/main">
  <c r="B11" i="1"/>
  <c r="B12"/>
  <c r="B13"/>
  <c r="B14"/>
  <c r="B15"/>
  <c r="B16"/>
  <c r="B17"/>
  <c r="B18"/>
  <c r="B19"/>
  <c r="B20"/>
  <c r="B12" i="4"/>
  <c r="B13"/>
  <c r="B14"/>
  <c r="B15"/>
  <c r="B16"/>
  <c r="B17"/>
  <c r="B18"/>
  <c r="B19"/>
  <c r="B20"/>
  <c r="B21"/>
  <c r="B22"/>
  <c r="B23"/>
  <c r="B24"/>
  <c r="B25"/>
  <c r="B26"/>
  <c r="B27"/>
  <c r="B28"/>
  <c r="B29"/>
  <c r="B30"/>
  <c r="B11"/>
  <c r="A12"/>
  <c r="A13" s="1"/>
  <c r="A14" s="1"/>
  <c r="A15" s="1"/>
  <c r="A16" s="1"/>
  <c r="A17" s="1"/>
  <c r="A18" s="1"/>
  <c r="A19" s="1"/>
  <c r="A20" s="1"/>
  <c r="A21" s="1"/>
  <c r="A22" s="1"/>
  <c r="A23" s="1"/>
  <c r="A24" s="1"/>
  <c r="A25" s="1"/>
  <c r="A26" s="1"/>
  <c r="A27" s="1"/>
  <c r="A28" s="1"/>
  <c r="A29" s="1"/>
  <c r="A30" s="1"/>
</calcChain>
</file>

<file path=xl/sharedStrings.xml><?xml version="1.0" encoding="utf-8"?>
<sst xmlns="http://schemas.openxmlformats.org/spreadsheetml/2006/main" count="18" uniqueCount="14">
  <si>
    <t>capital</t>
  </si>
  <si>
    <t>tx</t>
  </si>
  <si>
    <t>Année</t>
  </si>
  <si>
    <t>Capital</t>
  </si>
  <si>
    <t>capital terminal</t>
  </si>
  <si>
    <t>Quel sera le capital dans 20 ans en fonction du taux d'intérêt et du capital initial?</t>
  </si>
  <si>
    <t>paramètres</t>
  </si>
  <si>
    <t>Notations relatives et absolues, formules et adresses</t>
  </si>
  <si>
    <t>Le problème de la capitalisation (en VBA)</t>
  </si>
  <si>
    <t>horizon</t>
  </si>
  <si>
    <t>capital initial</t>
  </si>
  <si>
    <r>
      <t>Présentation du module de code :</t>
    </r>
    <r>
      <rPr>
        <sz val="10"/>
        <rFont val="Arial"/>
        <family val="2"/>
      </rPr>
      <t xml:space="preserve">
 Il contient deux prcédures Sub(), procCapitalisation1 et procCapitalisation2, Ces deux procédures sont deux variantes de la même procédure. Elles donnent bien sûr le même résultat.
</t>
    </r>
  </si>
  <si>
    <r>
      <t>Le problème financier :</t>
    </r>
    <r>
      <rPr>
        <sz val="10"/>
        <rFont val="Arial"/>
        <family val="2"/>
      </rPr>
      <t xml:space="preserve">
En fonction du capital initial et du taux d'intérêt constant, on souhaite calculer l'évolution du capital et sa valeur terminale à un horizon de 20 années.
</t>
    </r>
    <r>
      <rPr>
        <b/>
        <sz val="10"/>
        <rFont val="Arial"/>
        <family val="2"/>
      </rPr>
      <t>Le problème VBA :</t>
    </r>
    <r>
      <rPr>
        <sz val="10"/>
        <rFont val="Arial"/>
        <family val="2"/>
      </rPr>
      <t xml:space="preserve">
Le problème est résolu sous Excel sur la feuille "excel". La résolution passe par la définition de deux cellules pour chacun des deux paramètres (taux d'intérêt et capital initial) et par l'utilisation des formules Excel. Ces dernières reposent sur la distinction entre les notations relatives et les notations absolues. </t>
    </r>
    <r>
      <rPr>
        <b/>
        <sz val="10"/>
        <rFont val="Arial"/>
        <family val="2"/>
      </rPr>
      <t>Comment répliquer la résolution sous VBA en proposant à l'utilisateur le choix de la valeur des paramètres ?</t>
    </r>
  </si>
  <si>
    <r>
      <t xml:space="preserve">Pré-requis en VBA :
</t>
    </r>
    <r>
      <rPr>
        <sz val="10"/>
        <rFont val="Arial"/>
        <family val="2"/>
      </rPr>
      <t>les différentes formules (formula, formulaR1C1)
les notations relatives et absolues (R1C1 et R[1]C[1])
Utiliser l'aide sous le VBE (en tapant F1 après avoir positionner curseur le terme souhaité).</t>
    </r>
  </si>
</sst>
</file>

<file path=xl/styles.xml><?xml version="1.0" encoding="utf-8"?>
<styleSheet xmlns="http://schemas.openxmlformats.org/spreadsheetml/2006/main">
  <numFmts count="1">
    <numFmt numFmtId="8" formatCode="#,##0.00\ &quot;€&quot;;[Red]\-#,##0.00\ &quot;€&quot;"/>
  </numFmts>
  <fonts count="4">
    <font>
      <sz val="10"/>
      <name val="Arial"/>
    </font>
    <font>
      <b/>
      <sz val="10"/>
      <name val="Arial"/>
      <family val="2"/>
    </font>
    <font>
      <b/>
      <sz val="16"/>
      <color indexed="9"/>
      <name val="Arial"/>
      <family val="2"/>
    </font>
    <font>
      <sz val="10"/>
      <name val="Arial"/>
      <family val="2"/>
    </font>
  </fonts>
  <fills count="7">
    <fill>
      <patternFill patternType="none"/>
    </fill>
    <fill>
      <patternFill patternType="gray125"/>
    </fill>
    <fill>
      <patternFill patternType="solid">
        <fgColor indexed="22"/>
        <bgColor indexed="64"/>
      </patternFill>
    </fill>
    <fill>
      <patternFill patternType="solid">
        <fgColor indexed="48"/>
        <bgColor indexed="64"/>
      </patternFill>
    </fill>
    <fill>
      <patternFill patternType="solid">
        <fgColor indexed="16"/>
        <bgColor indexed="64"/>
      </patternFill>
    </fill>
    <fill>
      <patternFill patternType="solid">
        <fgColor indexed="44"/>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5">
    <xf numFmtId="0" fontId="0" fillId="0" borderId="0" xfId="0"/>
    <xf numFmtId="0" fontId="1" fillId="0" borderId="0" xfId="0" applyFont="1"/>
    <xf numFmtId="9" fontId="0" fillId="0" borderId="0" xfId="0" applyNumberFormat="1"/>
    <xf numFmtId="2" fontId="0" fillId="0" borderId="0" xfId="0" applyNumberFormat="1"/>
    <xf numFmtId="9" fontId="0" fillId="2" borderId="0" xfId="0" applyNumberFormat="1" applyFill="1"/>
    <xf numFmtId="0" fontId="0" fillId="2" borderId="0" xfId="0" applyFill="1"/>
    <xf numFmtId="2" fontId="0" fillId="3" borderId="0" xfId="0" applyNumberFormat="1" applyFill="1"/>
    <xf numFmtId="0" fontId="0" fillId="4" borderId="0" xfId="0" applyFill="1"/>
    <xf numFmtId="0" fontId="1" fillId="0" borderId="0" xfId="0" applyFont="1" applyFill="1"/>
    <xf numFmtId="0" fontId="0" fillId="0" borderId="0" xfId="0" applyFill="1"/>
    <xf numFmtId="9" fontId="0" fillId="0" borderId="0" xfId="0" applyNumberFormat="1" applyFill="1"/>
    <xf numFmtId="0" fontId="0" fillId="0" borderId="0" xfId="0" quotePrefix="1" applyFill="1"/>
    <xf numFmtId="2" fontId="0" fillId="0" borderId="0" xfId="0" applyNumberFormat="1" applyFill="1"/>
    <xf numFmtId="0" fontId="0" fillId="0" borderId="0" xfId="0" applyAlignment="1">
      <alignment horizontal="right"/>
    </xf>
    <xf numFmtId="0" fontId="0" fillId="0" borderId="0" xfId="0" applyFill="1" applyAlignment="1">
      <alignment horizontal="right"/>
    </xf>
    <xf numFmtId="0" fontId="0" fillId="0" borderId="0" xfId="0" quotePrefix="1" applyFill="1" applyAlignment="1">
      <alignment horizontal="right"/>
    </xf>
    <xf numFmtId="9" fontId="0" fillId="5" borderId="0" xfId="0" applyNumberFormat="1" applyFill="1"/>
    <xf numFmtId="0" fontId="0" fillId="5" borderId="0" xfId="0" applyFill="1"/>
    <xf numFmtId="0" fontId="0" fillId="6" borderId="0" xfId="0" applyFill="1"/>
    <xf numFmtId="8" fontId="0" fillId="0" borderId="0" xfId="0" applyNumberFormat="1"/>
    <xf numFmtId="0" fontId="2" fillId="4" borderId="0" xfId="0" applyFont="1" applyFill="1" applyAlignment="1">
      <alignment horizontal="center" vertical="center" wrapText="1"/>
    </xf>
    <xf numFmtId="0" fontId="1" fillId="0" borderId="0" xfId="0" applyFont="1" applyAlignment="1">
      <alignment horizontal="justify" vertical="top" wrapText="1"/>
    </xf>
    <xf numFmtId="0" fontId="0" fillId="0" borderId="0" xfId="0" applyAlignment="1">
      <alignment horizontal="justify" vertical="top" wrapText="1"/>
    </xf>
    <xf numFmtId="0" fontId="1" fillId="0" borderId="0" xfId="0" applyFont="1" applyAlignment="1">
      <alignment horizontal="left" vertical="top" wrapText="1"/>
    </xf>
    <xf numFmtId="0" fontId="3" fillId="0" borderId="0" xfId="0" applyFont="1" applyAlignment="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8.4800066250051764E-2"/>
          <c:y val="7.6086956521739135E-2"/>
          <c:w val="0.79360062000048526"/>
          <c:h val="0.78804347826086962"/>
        </c:manualLayout>
      </c:layout>
      <c:scatterChart>
        <c:scatterStyle val="smoothMarker"/>
        <c:ser>
          <c:idx val="1"/>
          <c:order val="0"/>
          <c:tx>
            <c:strRef>
              <c:f>vba!$V$10</c:f>
              <c:strCache>
                <c:ptCount val="1"/>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vba!$T$11:$T$31</c:f>
              <c:numCache>
                <c:formatCode>General</c:formatCode>
                <c:ptCount val="21"/>
              </c:numCache>
            </c:numRef>
          </c:xVal>
          <c:yVal>
            <c:numRef>
              <c:f>vba!$V$11:$V$31</c:f>
              <c:numCache>
                <c:formatCode>General</c:formatCode>
                <c:ptCount val="21"/>
              </c:numCache>
            </c:numRef>
          </c:yVal>
          <c:smooth val="1"/>
        </c:ser>
        <c:ser>
          <c:idx val="2"/>
          <c:order val="1"/>
          <c:tx>
            <c:strRef>
              <c:f>vba!$W$10</c:f>
              <c:strCache>
                <c:ptCount val="1"/>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vba!$T$11:$T$31</c:f>
              <c:numCache>
                <c:formatCode>General</c:formatCode>
                <c:ptCount val="21"/>
              </c:numCache>
            </c:numRef>
          </c:xVal>
          <c:yVal>
            <c:numRef>
              <c:f>vba!$W$11:$W$31</c:f>
              <c:numCache>
                <c:formatCode>General</c:formatCode>
                <c:ptCount val="21"/>
              </c:numCache>
            </c:numRef>
          </c:yVal>
          <c:smooth val="1"/>
        </c:ser>
        <c:ser>
          <c:idx val="3"/>
          <c:order val="2"/>
          <c:tx>
            <c:strRef>
              <c:f>vba!$X$10</c:f>
              <c:strCache>
                <c:ptCount val="1"/>
              </c:strCache>
            </c:strRef>
          </c:tx>
          <c:spPr>
            <a:ln w="12700">
              <a:solidFill>
                <a:srgbClr val="00FFFF"/>
              </a:solidFill>
              <a:prstDash val="solid"/>
            </a:ln>
          </c:spPr>
          <c:marker>
            <c:symbol val="x"/>
            <c:size val="5"/>
            <c:spPr>
              <a:noFill/>
              <a:ln>
                <a:solidFill>
                  <a:srgbClr val="00FFFF"/>
                </a:solidFill>
                <a:prstDash val="solid"/>
              </a:ln>
            </c:spPr>
          </c:marker>
          <c:xVal>
            <c:numRef>
              <c:f>vba!$T$11:$T$31</c:f>
              <c:numCache>
                <c:formatCode>General</c:formatCode>
                <c:ptCount val="21"/>
              </c:numCache>
            </c:numRef>
          </c:xVal>
          <c:yVal>
            <c:numRef>
              <c:f>vba!$X$11:$X$31</c:f>
              <c:numCache>
                <c:formatCode>General</c:formatCode>
                <c:ptCount val="21"/>
              </c:numCache>
            </c:numRef>
          </c:yVal>
          <c:smooth val="1"/>
        </c:ser>
        <c:ser>
          <c:idx val="4"/>
          <c:order val="3"/>
          <c:tx>
            <c:strRef>
              <c:f>vba!$Y$10</c:f>
              <c:strCache>
                <c:ptCount val="1"/>
              </c:strCache>
            </c:strRef>
          </c:tx>
          <c:spPr>
            <a:ln w="12700">
              <a:solidFill>
                <a:srgbClr val="800080"/>
              </a:solidFill>
              <a:prstDash val="solid"/>
            </a:ln>
          </c:spPr>
          <c:marker>
            <c:symbol val="star"/>
            <c:size val="5"/>
            <c:spPr>
              <a:noFill/>
              <a:ln>
                <a:solidFill>
                  <a:srgbClr val="800080"/>
                </a:solidFill>
                <a:prstDash val="solid"/>
              </a:ln>
            </c:spPr>
          </c:marker>
          <c:xVal>
            <c:numRef>
              <c:f>vba!$T$11:$T$31</c:f>
              <c:numCache>
                <c:formatCode>General</c:formatCode>
                <c:ptCount val="21"/>
              </c:numCache>
            </c:numRef>
          </c:xVal>
          <c:yVal>
            <c:numRef>
              <c:f>vba!$Y$11:$Y$31</c:f>
              <c:numCache>
                <c:formatCode>General</c:formatCode>
                <c:ptCount val="21"/>
              </c:numCache>
            </c:numRef>
          </c:yVal>
          <c:smooth val="1"/>
        </c:ser>
        <c:ser>
          <c:idx val="5"/>
          <c:order val="4"/>
          <c:tx>
            <c:strRef>
              <c:f>vba!$Z$10</c:f>
              <c:strCache>
                <c:ptCount val="1"/>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vba!$T$11:$T$31</c:f>
              <c:numCache>
                <c:formatCode>General</c:formatCode>
                <c:ptCount val="21"/>
              </c:numCache>
            </c:numRef>
          </c:xVal>
          <c:yVal>
            <c:numRef>
              <c:f>vba!$Z$11:$Z$31</c:f>
              <c:numCache>
                <c:formatCode>General</c:formatCode>
                <c:ptCount val="21"/>
              </c:numCache>
            </c:numRef>
          </c:yVal>
          <c:smooth val="1"/>
        </c:ser>
        <c:ser>
          <c:idx val="6"/>
          <c:order val="5"/>
          <c:tx>
            <c:strRef>
              <c:f>vba!$AA$10</c:f>
              <c:strCache>
                <c:ptCount val="1"/>
              </c:strCache>
            </c:strRef>
          </c:tx>
          <c:spPr>
            <a:ln w="12700">
              <a:solidFill>
                <a:srgbClr val="008080"/>
              </a:solidFill>
              <a:prstDash val="solid"/>
            </a:ln>
          </c:spPr>
          <c:marker>
            <c:symbol val="plus"/>
            <c:size val="5"/>
            <c:spPr>
              <a:noFill/>
              <a:ln>
                <a:solidFill>
                  <a:srgbClr val="008080"/>
                </a:solidFill>
                <a:prstDash val="solid"/>
              </a:ln>
            </c:spPr>
          </c:marker>
          <c:xVal>
            <c:numRef>
              <c:f>vba!$T$11:$T$31</c:f>
              <c:numCache>
                <c:formatCode>General</c:formatCode>
                <c:ptCount val="21"/>
              </c:numCache>
            </c:numRef>
          </c:xVal>
          <c:yVal>
            <c:numRef>
              <c:f>vba!$AA$11:$AA$31</c:f>
              <c:numCache>
                <c:formatCode>General</c:formatCode>
                <c:ptCount val="21"/>
              </c:numCache>
            </c:numRef>
          </c:yVal>
          <c:smooth val="1"/>
        </c:ser>
        <c:ser>
          <c:idx val="7"/>
          <c:order val="6"/>
          <c:tx>
            <c:strRef>
              <c:f>vba!$AB$10</c:f>
              <c:strCache>
                <c:ptCount val="1"/>
              </c:strCache>
            </c:strRef>
          </c:tx>
          <c:spPr>
            <a:ln w="12700">
              <a:solidFill>
                <a:srgbClr val="0000FF"/>
              </a:solidFill>
              <a:prstDash val="solid"/>
            </a:ln>
          </c:spPr>
          <c:marker>
            <c:symbol val="dot"/>
            <c:size val="5"/>
            <c:spPr>
              <a:noFill/>
              <a:ln>
                <a:solidFill>
                  <a:srgbClr val="0000FF"/>
                </a:solidFill>
                <a:prstDash val="solid"/>
              </a:ln>
            </c:spPr>
          </c:marker>
          <c:xVal>
            <c:numRef>
              <c:f>vba!$T$11:$T$31</c:f>
              <c:numCache>
                <c:formatCode>General</c:formatCode>
                <c:ptCount val="21"/>
              </c:numCache>
            </c:numRef>
          </c:xVal>
          <c:yVal>
            <c:numRef>
              <c:f>vba!$AB$11:$AB$31</c:f>
              <c:numCache>
                <c:formatCode>General</c:formatCode>
                <c:ptCount val="21"/>
              </c:numCache>
            </c:numRef>
          </c:yVal>
          <c:smooth val="1"/>
        </c:ser>
        <c:ser>
          <c:idx val="8"/>
          <c:order val="7"/>
          <c:tx>
            <c:strRef>
              <c:f>vba!$AC$10</c:f>
              <c:strCache>
                <c:ptCount val="1"/>
              </c:strCache>
            </c:strRef>
          </c:tx>
          <c:spPr>
            <a:ln w="12700">
              <a:solidFill>
                <a:srgbClr val="00CCFF"/>
              </a:solidFill>
              <a:prstDash val="solid"/>
            </a:ln>
          </c:spPr>
          <c:marker>
            <c:symbol val="dash"/>
            <c:size val="5"/>
            <c:spPr>
              <a:noFill/>
              <a:ln>
                <a:solidFill>
                  <a:srgbClr val="00CCFF"/>
                </a:solidFill>
                <a:prstDash val="solid"/>
              </a:ln>
            </c:spPr>
          </c:marker>
          <c:xVal>
            <c:numRef>
              <c:f>vba!$T$11:$T$31</c:f>
              <c:numCache>
                <c:formatCode>General</c:formatCode>
                <c:ptCount val="21"/>
              </c:numCache>
            </c:numRef>
          </c:xVal>
          <c:yVal>
            <c:numRef>
              <c:f>vba!$AC$11:$AC$31</c:f>
              <c:numCache>
                <c:formatCode>General</c:formatCode>
                <c:ptCount val="21"/>
              </c:numCache>
            </c:numRef>
          </c:yVal>
          <c:smooth val="1"/>
        </c:ser>
        <c:ser>
          <c:idx val="9"/>
          <c:order val="8"/>
          <c:tx>
            <c:strRef>
              <c:f>vba!$AD$10</c:f>
              <c:strCache>
                <c:ptCount val="1"/>
              </c:strCache>
            </c:strRef>
          </c:tx>
          <c:spPr>
            <a:ln w="12700">
              <a:solidFill>
                <a:srgbClr val="CCFFFF"/>
              </a:solidFill>
              <a:prstDash val="solid"/>
            </a:ln>
          </c:spPr>
          <c:marker>
            <c:symbol val="diamond"/>
            <c:size val="5"/>
            <c:spPr>
              <a:solidFill>
                <a:srgbClr val="CCFFFF"/>
              </a:solidFill>
              <a:ln>
                <a:solidFill>
                  <a:srgbClr val="CCFFFF"/>
                </a:solidFill>
                <a:prstDash val="solid"/>
              </a:ln>
            </c:spPr>
          </c:marker>
          <c:xVal>
            <c:numRef>
              <c:f>vba!$T$11:$T$31</c:f>
              <c:numCache>
                <c:formatCode>General</c:formatCode>
                <c:ptCount val="21"/>
              </c:numCache>
            </c:numRef>
          </c:xVal>
          <c:yVal>
            <c:numRef>
              <c:f>vba!$AD$11:$AD$31</c:f>
              <c:numCache>
                <c:formatCode>General</c:formatCode>
                <c:ptCount val="21"/>
              </c:numCache>
            </c:numRef>
          </c:yVal>
          <c:smooth val="1"/>
        </c:ser>
        <c:axId val="82268928"/>
        <c:axId val="82270464"/>
      </c:scatterChart>
      <c:valAx>
        <c:axId val="82268928"/>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82270464"/>
        <c:crosses val="autoZero"/>
        <c:crossBetween val="midCat"/>
      </c:valAx>
      <c:valAx>
        <c:axId val="82270464"/>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82268928"/>
        <c:crosses val="autoZero"/>
        <c:crossBetween val="midCat"/>
      </c:valAx>
      <c:spPr>
        <a:solidFill>
          <a:srgbClr val="C0C0C0"/>
        </a:solidFill>
        <a:ln w="12700">
          <a:solidFill>
            <a:srgbClr val="808080"/>
          </a:solidFill>
          <a:prstDash val="solid"/>
        </a:ln>
      </c:spPr>
    </c:plotArea>
    <c:legend>
      <c:legendPos val="r"/>
      <c:layout>
        <c:manualLayout>
          <c:xMode val="edge"/>
          <c:yMode val="edge"/>
          <c:x val="0.91840067191601049"/>
          <c:y val="0.18750000000000017"/>
          <c:w val="6.88E-2"/>
          <c:h val="0.56521739130434756"/>
        </c:manualLayout>
      </c:layou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034" footer="0.4921259845000003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22</xdr:col>
      <xdr:colOff>47625</xdr:colOff>
      <xdr:row>10</xdr:row>
      <xdr:rowOff>47625</xdr:rowOff>
    </xdr:from>
    <xdr:to>
      <xdr:col>29</xdr:col>
      <xdr:colOff>666750</xdr:colOff>
      <xdr:row>31</xdr:row>
      <xdr:rowOff>152400</xdr:rowOff>
    </xdr:to>
    <xdr:graphicFrame macro="">
      <xdr:nvGraphicFramePr>
        <xdr:cNvPr id="105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Feuil1"/>
  <dimension ref="B1:L27"/>
  <sheetViews>
    <sheetView showGridLines="0" workbookViewId="0">
      <selection activeCell="B28" sqref="B28"/>
    </sheetView>
  </sheetViews>
  <sheetFormatPr baseColWidth="10" defaultRowHeight="12.75"/>
  <sheetData>
    <row r="1" spans="2:12" s="7" customFormat="1">
      <c r="D1" s="20" t="s">
        <v>7</v>
      </c>
      <c r="E1" s="20"/>
      <c r="F1" s="20"/>
      <c r="G1" s="20"/>
      <c r="H1" s="20"/>
      <c r="I1" s="20"/>
    </row>
    <row r="2" spans="2:12" s="7" customFormat="1">
      <c r="D2" s="20"/>
      <c r="E2" s="20"/>
      <c r="F2" s="20"/>
      <c r="G2" s="20"/>
      <c r="H2" s="20"/>
      <c r="I2" s="20"/>
    </row>
    <row r="3" spans="2:12" s="7" customFormat="1">
      <c r="D3" s="20"/>
      <c r="E3" s="20"/>
      <c r="F3" s="20"/>
      <c r="G3" s="20"/>
      <c r="H3" s="20"/>
      <c r="I3" s="20"/>
    </row>
    <row r="4" spans="2:12" s="7" customFormat="1">
      <c r="D4" s="20"/>
      <c r="E4" s="20"/>
      <c r="F4" s="20"/>
      <c r="G4" s="20"/>
      <c r="H4" s="20"/>
      <c r="I4" s="20"/>
    </row>
    <row r="5" spans="2:12" s="7" customFormat="1">
      <c r="D5" s="20"/>
      <c r="E5" s="20"/>
      <c r="F5" s="20"/>
      <c r="G5" s="20"/>
      <c r="H5" s="20"/>
      <c r="I5" s="20"/>
    </row>
    <row r="8" spans="2:12">
      <c r="B8" s="21" t="s">
        <v>12</v>
      </c>
      <c r="C8" s="22"/>
      <c r="D8" s="22"/>
      <c r="E8" s="22"/>
      <c r="F8" s="22"/>
      <c r="G8" s="22"/>
      <c r="H8" s="22"/>
      <c r="I8" s="22"/>
      <c r="J8" s="22"/>
      <c r="K8" s="22"/>
      <c r="L8" s="22"/>
    </row>
    <row r="9" spans="2:12">
      <c r="B9" s="22"/>
      <c r="C9" s="22"/>
      <c r="D9" s="22"/>
      <c r="E9" s="22"/>
      <c r="F9" s="22"/>
      <c r="G9" s="22"/>
      <c r="H9" s="22"/>
      <c r="I9" s="22"/>
      <c r="J9" s="22"/>
      <c r="K9" s="22"/>
      <c r="L9" s="22"/>
    </row>
    <row r="10" spans="2:12">
      <c r="B10" s="22"/>
      <c r="C10" s="22"/>
      <c r="D10" s="22"/>
      <c r="E10" s="22"/>
      <c r="F10" s="22"/>
      <c r="G10" s="22"/>
      <c r="H10" s="22"/>
      <c r="I10" s="22"/>
      <c r="J10" s="22"/>
      <c r="K10" s="22"/>
      <c r="L10" s="22"/>
    </row>
    <row r="11" spans="2:12">
      <c r="B11" s="22"/>
      <c r="C11" s="22"/>
      <c r="D11" s="22"/>
      <c r="E11" s="22"/>
      <c r="F11" s="22"/>
      <c r="G11" s="22"/>
      <c r="H11" s="22"/>
      <c r="I11" s="22"/>
      <c r="J11" s="22"/>
      <c r="K11" s="22"/>
      <c r="L11" s="22"/>
    </row>
    <row r="12" spans="2:12">
      <c r="B12" s="22"/>
      <c r="C12" s="22"/>
      <c r="D12" s="22"/>
      <c r="E12" s="22"/>
      <c r="F12" s="22"/>
      <c r="G12" s="22"/>
      <c r="H12" s="22"/>
      <c r="I12" s="22"/>
      <c r="J12" s="22"/>
      <c r="K12" s="22"/>
      <c r="L12" s="22"/>
    </row>
    <row r="13" spans="2:12">
      <c r="B13" s="22"/>
      <c r="C13" s="22"/>
      <c r="D13" s="22"/>
      <c r="E13" s="22"/>
      <c r="F13" s="22"/>
      <c r="G13" s="22"/>
      <c r="H13" s="22"/>
      <c r="I13" s="22"/>
      <c r="J13" s="22"/>
      <c r="K13" s="22"/>
      <c r="L13" s="22"/>
    </row>
    <row r="14" spans="2:12">
      <c r="B14" s="22"/>
      <c r="C14" s="22"/>
      <c r="D14" s="22"/>
      <c r="E14" s="22"/>
      <c r="F14" s="22"/>
      <c r="G14" s="22"/>
      <c r="H14" s="22"/>
      <c r="I14" s="22"/>
      <c r="J14" s="22"/>
      <c r="K14" s="22"/>
      <c r="L14" s="22"/>
    </row>
    <row r="15" spans="2:12">
      <c r="B15" s="22"/>
      <c r="C15" s="22"/>
      <c r="D15" s="22"/>
      <c r="E15" s="22"/>
      <c r="F15" s="22"/>
      <c r="G15" s="22"/>
      <c r="H15" s="22"/>
      <c r="I15" s="22"/>
      <c r="J15" s="22"/>
      <c r="K15" s="22"/>
      <c r="L15" s="22"/>
    </row>
    <row r="16" spans="2:12" ht="15" customHeight="1">
      <c r="B16" s="23" t="s">
        <v>11</v>
      </c>
      <c r="C16" s="24"/>
      <c r="D16" s="24"/>
      <c r="E16" s="24"/>
      <c r="F16" s="24"/>
      <c r="G16" s="24"/>
      <c r="H16" s="24"/>
      <c r="I16" s="24"/>
      <c r="J16" s="24"/>
      <c r="K16" s="24"/>
      <c r="L16" s="24"/>
    </row>
    <row r="17" spans="2:12">
      <c r="B17" s="24"/>
      <c r="C17" s="24"/>
      <c r="D17" s="24"/>
      <c r="E17" s="24"/>
      <c r="F17" s="24"/>
      <c r="G17" s="24"/>
      <c r="H17" s="24"/>
      <c r="I17" s="24"/>
      <c r="J17" s="24"/>
      <c r="K17" s="24"/>
      <c r="L17" s="24"/>
    </row>
    <row r="18" spans="2:12">
      <c r="B18" s="24"/>
      <c r="C18" s="24"/>
      <c r="D18" s="24"/>
      <c r="E18" s="24"/>
      <c r="F18" s="24"/>
      <c r="G18" s="24"/>
      <c r="H18" s="24"/>
      <c r="I18" s="24"/>
      <c r="J18" s="24"/>
      <c r="K18" s="24"/>
      <c r="L18" s="24"/>
    </row>
    <row r="19" spans="2:12">
      <c r="B19" s="24"/>
      <c r="C19" s="24"/>
      <c r="D19" s="24"/>
      <c r="E19" s="24"/>
      <c r="F19" s="24"/>
      <c r="G19" s="24"/>
      <c r="H19" s="24"/>
      <c r="I19" s="24"/>
      <c r="J19" s="24"/>
      <c r="K19" s="24"/>
      <c r="L19" s="24"/>
    </row>
    <row r="20" spans="2:12">
      <c r="B20" s="21" t="s">
        <v>13</v>
      </c>
      <c r="C20" s="21"/>
      <c r="D20" s="21"/>
      <c r="E20" s="21"/>
      <c r="F20" s="21"/>
      <c r="G20" s="21"/>
      <c r="H20" s="21"/>
      <c r="I20" s="21"/>
      <c r="J20" s="21"/>
      <c r="K20" s="21"/>
      <c r="L20" s="21"/>
    </row>
    <row r="21" spans="2:12">
      <c r="B21" s="21"/>
      <c r="C21" s="21"/>
      <c r="D21" s="21"/>
      <c r="E21" s="21"/>
      <c r="F21" s="21"/>
      <c r="G21" s="21"/>
      <c r="H21" s="21"/>
      <c r="I21" s="21"/>
      <c r="J21" s="21"/>
      <c r="K21" s="21"/>
      <c r="L21" s="21"/>
    </row>
    <row r="22" spans="2:12">
      <c r="B22" s="21"/>
      <c r="C22" s="21"/>
      <c r="D22" s="21"/>
      <c r="E22" s="21"/>
      <c r="F22" s="21"/>
      <c r="G22" s="21"/>
      <c r="H22" s="21"/>
      <c r="I22" s="21"/>
      <c r="J22" s="21"/>
      <c r="K22" s="21"/>
      <c r="L22" s="21"/>
    </row>
    <row r="23" spans="2:12">
      <c r="B23" s="21"/>
      <c r="C23" s="21"/>
      <c r="D23" s="21"/>
      <c r="E23" s="21"/>
      <c r="F23" s="21"/>
      <c r="G23" s="21"/>
      <c r="H23" s="21"/>
      <c r="I23" s="21"/>
      <c r="J23" s="21"/>
      <c r="K23" s="21"/>
      <c r="L23" s="21"/>
    </row>
    <row r="24" spans="2:12">
      <c r="B24" s="21"/>
      <c r="C24" s="21"/>
      <c r="D24" s="21"/>
      <c r="E24" s="21"/>
      <c r="F24" s="21"/>
      <c r="G24" s="21"/>
      <c r="H24" s="21"/>
      <c r="I24" s="21"/>
      <c r="J24" s="21"/>
      <c r="K24" s="21"/>
      <c r="L24" s="21"/>
    </row>
    <row r="25" spans="2:12">
      <c r="B25" s="21"/>
      <c r="C25" s="21"/>
      <c r="D25" s="21"/>
      <c r="E25" s="21"/>
      <c r="F25" s="21"/>
      <c r="G25" s="21"/>
      <c r="H25" s="21"/>
      <c r="I25" s="21"/>
      <c r="J25" s="21"/>
      <c r="K25" s="21"/>
      <c r="L25" s="21"/>
    </row>
    <row r="26" spans="2:12">
      <c r="B26" s="21"/>
      <c r="C26" s="21"/>
      <c r="D26" s="21"/>
      <c r="E26" s="21"/>
      <c r="F26" s="21"/>
      <c r="G26" s="21"/>
      <c r="H26" s="21"/>
      <c r="I26" s="21"/>
      <c r="J26" s="21"/>
      <c r="K26" s="21"/>
      <c r="L26" s="21"/>
    </row>
    <row r="27" spans="2:12">
      <c r="B27" s="21"/>
      <c r="C27" s="21"/>
      <c r="D27" s="21"/>
      <c r="E27" s="21"/>
      <c r="F27" s="21"/>
      <c r="G27" s="21"/>
      <c r="H27" s="21"/>
      <c r="I27" s="21"/>
      <c r="J27" s="21"/>
      <c r="K27" s="21"/>
      <c r="L27" s="21"/>
    </row>
  </sheetData>
  <mergeCells count="4">
    <mergeCell ref="D1:I5"/>
    <mergeCell ref="B20:L27"/>
    <mergeCell ref="B8:L15"/>
    <mergeCell ref="B16:L19"/>
  </mergeCells>
  <phoneticPr fontId="0" type="noConversion"/>
  <pageMargins left="0.78740157499999996" right="0.78740157499999996" top="0.984251969" bottom="0.984251969" header="0.4921259845" footer="0.4921259845"/>
  <headerFooter alignWithMargins="0"/>
</worksheet>
</file>

<file path=xl/worksheets/sheet2.xml><?xml version="1.0" encoding="utf-8"?>
<worksheet xmlns="http://schemas.openxmlformats.org/spreadsheetml/2006/main" xmlns:r="http://schemas.openxmlformats.org/officeDocument/2006/relationships">
  <sheetPr codeName="Feuil2"/>
  <dimension ref="A1:J30"/>
  <sheetViews>
    <sheetView workbookViewId="0">
      <selection activeCell="A10" sqref="A10:B10"/>
    </sheetView>
  </sheetViews>
  <sheetFormatPr baseColWidth="10" defaultRowHeight="12.75"/>
  <cols>
    <col min="6" max="6" width="15.28515625" customWidth="1"/>
  </cols>
  <sheetData>
    <row r="1" spans="1:10">
      <c r="A1" s="1" t="s">
        <v>5</v>
      </c>
    </row>
    <row r="2" spans="1:10" ht="14.25" customHeight="1"/>
    <row r="3" spans="1:10">
      <c r="D3" t="s">
        <v>6</v>
      </c>
    </row>
    <row r="4" spans="1:10">
      <c r="C4" t="s">
        <v>1</v>
      </c>
      <c r="D4" s="4">
        <v>0.05</v>
      </c>
    </row>
    <row r="5" spans="1:10">
      <c r="C5" t="s">
        <v>0</v>
      </c>
      <c r="D5" s="5">
        <v>1000</v>
      </c>
      <c r="G5" s="3"/>
    </row>
    <row r="9" spans="1:10">
      <c r="J9" s="2"/>
    </row>
    <row r="10" spans="1:10">
      <c r="A10" t="s">
        <v>2</v>
      </c>
      <c r="B10" t="s">
        <v>3</v>
      </c>
    </row>
    <row r="11" spans="1:10">
      <c r="A11">
        <v>1</v>
      </c>
      <c r="B11" s="6">
        <f>$D$5*(1+$D$4)^A11</f>
        <v>1050</v>
      </c>
      <c r="C11" s="19"/>
    </row>
    <row r="12" spans="1:10">
      <c r="A12">
        <f>A11+1</f>
        <v>2</v>
      </c>
      <c r="B12" s="6">
        <f t="shared" ref="B12:B30" si="0">$D$5*(1+$D$4)^A12</f>
        <v>1102.5</v>
      </c>
      <c r="C12" s="19"/>
    </row>
    <row r="13" spans="1:10">
      <c r="A13">
        <f t="shared" ref="A13:A30" si="1">A12+1</f>
        <v>3</v>
      </c>
      <c r="B13" s="6">
        <f t="shared" si="0"/>
        <v>1157.6250000000002</v>
      </c>
      <c r="C13" s="19"/>
    </row>
    <row r="14" spans="1:10">
      <c r="A14">
        <f t="shared" si="1"/>
        <v>4</v>
      </c>
      <c r="B14" s="6">
        <f t="shared" si="0"/>
        <v>1215.5062499999999</v>
      </c>
      <c r="C14" s="19"/>
    </row>
    <row r="15" spans="1:10">
      <c r="A15">
        <f t="shared" si="1"/>
        <v>5</v>
      </c>
      <c r="B15" s="6">
        <f t="shared" si="0"/>
        <v>1276.2815625000001</v>
      </c>
      <c r="C15" s="19"/>
    </row>
    <row r="16" spans="1:10">
      <c r="A16">
        <f t="shared" si="1"/>
        <v>6</v>
      </c>
      <c r="B16" s="6">
        <f t="shared" si="0"/>
        <v>1340.095640625</v>
      </c>
      <c r="C16" s="19"/>
    </row>
    <row r="17" spans="1:3">
      <c r="A17">
        <f t="shared" si="1"/>
        <v>7</v>
      </c>
      <c r="B17" s="6">
        <f t="shared" si="0"/>
        <v>1407.1004226562502</v>
      </c>
      <c r="C17" s="19"/>
    </row>
    <row r="18" spans="1:3">
      <c r="A18">
        <f t="shared" si="1"/>
        <v>8</v>
      </c>
      <c r="B18" s="6">
        <f t="shared" si="0"/>
        <v>1477.4554437890627</v>
      </c>
      <c r="C18" s="19"/>
    </row>
    <row r="19" spans="1:3">
      <c r="A19">
        <f t="shared" si="1"/>
        <v>9</v>
      </c>
      <c r="B19" s="6">
        <f t="shared" si="0"/>
        <v>1551.3282159785158</v>
      </c>
      <c r="C19" s="19"/>
    </row>
    <row r="20" spans="1:3">
      <c r="A20">
        <f t="shared" si="1"/>
        <v>10</v>
      </c>
      <c r="B20" s="6">
        <f t="shared" si="0"/>
        <v>1628.8946267774415</v>
      </c>
      <c r="C20" s="19"/>
    </row>
    <row r="21" spans="1:3">
      <c r="A21">
        <f t="shared" si="1"/>
        <v>11</v>
      </c>
      <c r="B21" s="6">
        <f t="shared" si="0"/>
        <v>1710.3393581163139</v>
      </c>
      <c r="C21" s="19"/>
    </row>
    <row r="22" spans="1:3">
      <c r="A22">
        <f t="shared" si="1"/>
        <v>12</v>
      </c>
      <c r="B22" s="6">
        <f t="shared" si="0"/>
        <v>1795.8563260221292</v>
      </c>
      <c r="C22" s="19"/>
    </row>
    <row r="23" spans="1:3">
      <c r="A23">
        <f t="shared" si="1"/>
        <v>13</v>
      </c>
      <c r="B23" s="6">
        <f t="shared" si="0"/>
        <v>1885.649142323236</v>
      </c>
      <c r="C23" s="19"/>
    </row>
    <row r="24" spans="1:3">
      <c r="A24">
        <f t="shared" si="1"/>
        <v>14</v>
      </c>
      <c r="B24" s="6">
        <f t="shared" si="0"/>
        <v>1979.9315994393974</v>
      </c>
      <c r="C24" s="19"/>
    </row>
    <row r="25" spans="1:3">
      <c r="A25">
        <f t="shared" si="1"/>
        <v>15</v>
      </c>
      <c r="B25" s="6">
        <f t="shared" si="0"/>
        <v>2078.9281794113681</v>
      </c>
      <c r="C25" s="19"/>
    </row>
    <row r="26" spans="1:3">
      <c r="A26">
        <f t="shared" si="1"/>
        <v>16</v>
      </c>
      <c r="B26" s="6">
        <f t="shared" si="0"/>
        <v>2182.8745883819361</v>
      </c>
      <c r="C26" s="19"/>
    </row>
    <row r="27" spans="1:3">
      <c r="A27">
        <f t="shared" si="1"/>
        <v>17</v>
      </c>
      <c r="B27" s="6">
        <f t="shared" si="0"/>
        <v>2292.0183178010329</v>
      </c>
      <c r="C27" s="19"/>
    </row>
    <row r="28" spans="1:3">
      <c r="A28">
        <f t="shared" si="1"/>
        <v>18</v>
      </c>
      <c r="B28" s="6">
        <f t="shared" si="0"/>
        <v>2406.6192336910849</v>
      </c>
      <c r="C28" s="19"/>
    </row>
    <row r="29" spans="1:3">
      <c r="A29">
        <f t="shared" si="1"/>
        <v>19</v>
      </c>
      <c r="B29" s="6">
        <f t="shared" si="0"/>
        <v>2526.9501953756389</v>
      </c>
      <c r="C29" s="19"/>
    </row>
    <row r="30" spans="1:3">
      <c r="A30">
        <f t="shared" si="1"/>
        <v>20</v>
      </c>
      <c r="B30" s="6">
        <f t="shared" si="0"/>
        <v>2653.2977051444209</v>
      </c>
      <c r="C30" s="19"/>
    </row>
  </sheetData>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Feuil3"/>
  <dimension ref="A1:AD31"/>
  <sheetViews>
    <sheetView tabSelected="1" workbookViewId="0">
      <selection activeCell="D18" sqref="D18"/>
    </sheetView>
  </sheetViews>
  <sheetFormatPr baseColWidth="10" defaultRowHeight="12.75"/>
  <cols>
    <col min="3" max="16384" width="11.42578125" style="9"/>
  </cols>
  <sheetData>
    <row r="1" spans="1:30">
      <c r="A1" s="8" t="s">
        <v>8</v>
      </c>
      <c r="B1" s="9"/>
    </row>
    <row r="2" spans="1:30">
      <c r="A2" s="9"/>
      <c r="B2" s="9"/>
    </row>
    <row r="3" spans="1:30" customFormat="1">
      <c r="C3" s="13"/>
      <c r="D3" t="s">
        <v>6</v>
      </c>
    </row>
    <row r="4" spans="1:30" customFormat="1">
      <c r="C4" s="13" t="s">
        <v>1</v>
      </c>
      <c r="D4" s="16">
        <v>0.05</v>
      </c>
      <c r="F4" s="14" t="s">
        <v>4</v>
      </c>
      <c r="G4" s="18">
        <v>16288.946267774416</v>
      </c>
    </row>
    <row r="5" spans="1:30" customFormat="1">
      <c r="C5" s="13" t="s">
        <v>9</v>
      </c>
      <c r="D5" s="17">
        <v>10</v>
      </c>
      <c r="G5" s="3"/>
    </row>
    <row r="6" spans="1:30">
      <c r="A6" s="9"/>
      <c r="B6" s="9"/>
      <c r="C6" s="13" t="s">
        <v>10</v>
      </c>
      <c r="D6" s="17">
        <v>10000</v>
      </c>
    </row>
    <row r="7" spans="1:30">
      <c r="A7" s="9"/>
      <c r="B7" s="9"/>
      <c r="C7" s="14"/>
      <c r="G7" s="10"/>
      <c r="K7" s="10"/>
    </row>
    <row r="8" spans="1:30">
      <c r="A8" s="9"/>
      <c r="B8" s="9"/>
      <c r="C8" s="14"/>
    </row>
    <row r="9" spans="1:30">
      <c r="A9" s="9"/>
      <c r="B9" s="9"/>
    </row>
    <row r="10" spans="1:30">
      <c r="A10" t="s">
        <v>2</v>
      </c>
      <c r="B10" t="s">
        <v>3</v>
      </c>
      <c r="C10" s="14"/>
      <c r="W10" s="10"/>
      <c r="X10" s="10"/>
      <c r="Y10" s="10"/>
      <c r="Z10" s="10"/>
      <c r="AA10" s="10"/>
      <c r="AB10" s="10"/>
      <c r="AC10" s="10"/>
      <c r="AD10" s="10"/>
    </row>
    <row r="11" spans="1:30">
      <c r="A11">
        <v>1</v>
      </c>
      <c r="B11">
        <f t="shared" ref="B11:B20" si="0">cap_init*(1+taux)^A11</f>
        <v>10500</v>
      </c>
      <c r="C11" s="14"/>
      <c r="H11" s="11"/>
      <c r="L11" s="11"/>
      <c r="Q11" s="11"/>
    </row>
    <row r="12" spans="1:30">
      <c r="A12">
        <v>2</v>
      </c>
      <c r="B12">
        <f t="shared" si="0"/>
        <v>11025</v>
      </c>
      <c r="C12" s="15"/>
      <c r="H12" s="11"/>
      <c r="L12" s="11"/>
      <c r="P12" s="12"/>
      <c r="Q12" s="11"/>
    </row>
    <row r="13" spans="1:30">
      <c r="A13">
        <v>3</v>
      </c>
      <c r="B13">
        <f t="shared" si="0"/>
        <v>11576.250000000002</v>
      </c>
      <c r="C13" s="11"/>
      <c r="H13" s="11"/>
      <c r="L13" s="11"/>
      <c r="P13" s="12"/>
      <c r="Q13" s="11"/>
    </row>
    <row r="14" spans="1:30">
      <c r="A14">
        <v>4</v>
      </c>
      <c r="B14">
        <f t="shared" si="0"/>
        <v>12155.0625</v>
      </c>
      <c r="C14" s="11"/>
      <c r="H14" s="11"/>
      <c r="L14" s="11"/>
      <c r="P14" s="12"/>
      <c r="Q14" s="11"/>
    </row>
    <row r="15" spans="1:30">
      <c r="A15">
        <v>5</v>
      </c>
      <c r="B15">
        <f t="shared" si="0"/>
        <v>12762.815625000001</v>
      </c>
      <c r="C15" s="11"/>
      <c r="H15" s="11"/>
      <c r="L15" s="11"/>
      <c r="P15" s="12"/>
      <c r="Q15" s="11"/>
    </row>
    <row r="16" spans="1:30">
      <c r="A16">
        <v>6</v>
      </c>
      <c r="B16">
        <f t="shared" si="0"/>
        <v>13400.956406249999</v>
      </c>
      <c r="C16" s="11"/>
      <c r="H16" s="11"/>
      <c r="L16" s="11"/>
      <c r="P16" s="12"/>
      <c r="Q16" s="11"/>
    </row>
    <row r="17" spans="1:17">
      <c r="A17">
        <v>7</v>
      </c>
      <c r="B17">
        <f t="shared" si="0"/>
        <v>14071.004226562502</v>
      </c>
      <c r="C17" s="11"/>
      <c r="H17" s="11"/>
      <c r="L17" s="11"/>
      <c r="P17" s="12"/>
      <c r="Q17" s="11"/>
    </row>
    <row r="18" spans="1:17">
      <c r="A18">
        <v>8</v>
      </c>
      <c r="B18">
        <f t="shared" si="0"/>
        <v>14774.554437890625</v>
      </c>
      <c r="C18" s="11"/>
      <c r="H18" s="11"/>
      <c r="L18" s="11"/>
      <c r="P18" s="12"/>
      <c r="Q18" s="11"/>
    </row>
    <row r="19" spans="1:17">
      <c r="A19">
        <v>9</v>
      </c>
      <c r="B19">
        <f t="shared" si="0"/>
        <v>15513.282159785158</v>
      </c>
      <c r="C19" s="11"/>
      <c r="H19" s="11"/>
      <c r="L19" s="11"/>
      <c r="P19" s="12"/>
      <c r="Q19" s="11"/>
    </row>
    <row r="20" spans="1:17">
      <c r="A20">
        <v>10</v>
      </c>
      <c r="B20">
        <f t="shared" si="0"/>
        <v>16288.946267774416</v>
      </c>
      <c r="C20" s="11"/>
      <c r="H20" s="11"/>
      <c r="L20" s="11"/>
      <c r="P20" s="12"/>
      <c r="Q20" s="11"/>
    </row>
    <row r="21" spans="1:17">
      <c r="C21" s="11"/>
      <c r="H21" s="11"/>
      <c r="L21" s="11"/>
      <c r="P21" s="12"/>
      <c r="Q21" s="11"/>
    </row>
    <row r="22" spans="1:17">
      <c r="C22" s="11"/>
      <c r="H22" s="11"/>
      <c r="L22" s="11"/>
      <c r="P22" s="12"/>
      <c r="Q22" s="11"/>
    </row>
    <row r="23" spans="1:17">
      <c r="C23" s="11"/>
      <c r="H23" s="11"/>
      <c r="L23" s="11"/>
      <c r="P23" s="12"/>
      <c r="Q23" s="11"/>
    </row>
    <row r="24" spans="1:17">
      <c r="C24" s="11"/>
      <c r="H24" s="11"/>
      <c r="L24" s="11"/>
      <c r="P24" s="12"/>
      <c r="Q24" s="11"/>
    </row>
    <row r="25" spans="1:17">
      <c r="C25" s="11"/>
      <c r="H25" s="11"/>
      <c r="L25" s="11"/>
      <c r="P25" s="12"/>
      <c r="Q25" s="11"/>
    </row>
    <row r="26" spans="1:17">
      <c r="C26" s="11"/>
      <c r="H26" s="11"/>
      <c r="L26" s="11"/>
      <c r="P26" s="12"/>
      <c r="Q26" s="11"/>
    </row>
    <row r="27" spans="1:17">
      <c r="C27" s="11"/>
      <c r="H27" s="11"/>
      <c r="L27" s="11"/>
      <c r="P27" s="12"/>
      <c r="Q27" s="11"/>
    </row>
    <row r="28" spans="1:17">
      <c r="C28" s="11"/>
      <c r="H28" s="11"/>
      <c r="L28" s="11"/>
      <c r="P28" s="12"/>
      <c r="Q28" s="11"/>
    </row>
    <row r="29" spans="1:17">
      <c r="C29" s="11"/>
      <c r="H29" s="11"/>
      <c r="L29" s="11"/>
      <c r="P29" s="12"/>
      <c r="Q29" s="11"/>
    </row>
    <row r="30" spans="1:17">
      <c r="C30" s="11"/>
      <c r="H30" s="11"/>
      <c r="L30" s="11"/>
      <c r="P30" s="12"/>
      <c r="Q30" s="11"/>
    </row>
    <row r="31" spans="1:17">
      <c r="C31" s="11"/>
      <c r="H31" s="11"/>
      <c r="L31" s="11"/>
      <c r="P31" s="12"/>
      <c r="Q31" s="11"/>
    </row>
  </sheetData>
  <phoneticPr fontId="0" type="noConversion"/>
  <pageMargins left="0.78740157499999996" right="0.78740157499999996" top="0.984251969" bottom="0.984251969" header="0.4921259845" footer="0.492125984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4</vt:i4>
      </vt:variant>
    </vt:vector>
  </HeadingPairs>
  <TitlesOfParts>
    <vt:vector size="7" baseType="lpstr">
      <vt:lpstr>intro</vt:lpstr>
      <vt:lpstr>excel</vt:lpstr>
      <vt:lpstr>vba</vt:lpstr>
      <vt:lpstr>cap_fin</vt:lpstr>
      <vt:lpstr>cap_init</vt:lpstr>
      <vt:lpstr>horizon</vt:lpstr>
      <vt:lpstr>taux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mss</dc:creator>
  <cp:lastModifiedBy>PELTRAULT</cp:lastModifiedBy>
  <dcterms:created xsi:type="dcterms:W3CDTF">2006-07-14T20:36:56Z</dcterms:created>
  <dcterms:modified xsi:type="dcterms:W3CDTF">2013-11-11T19:55:18Z</dcterms:modified>
</cp:coreProperties>
</file>