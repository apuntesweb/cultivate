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317" codeName="{7A2D7E96-6E34-419A-AE5F-296B3A7E7977}"/>
  <workbookPr codeName="ThisWorkbook" autoCompressPictures="0"/>
  <bookViews>
    <workbookView minimized="1" xWindow="0" yWindow="0" windowWidth="28800" windowHeight="17460" activeTab="1"/>
  </bookViews>
  <sheets>
    <sheet name="Intro" sheetId="8" r:id="rId1"/>
    <sheet name="données" sheetId="1" r:id="rId2"/>
    <sheet name="SAV DONNEES" sheetId="9" r:id="rId3"/>
  </sheets>
  <definedNames>
    <definedName name="coût">données!$E$2:$E$17</definedName>
    <definedName name="prix">données!$D$2:$D$17</definedName>
    <definedName name="Produit">données!$B$2:$B$17</definedName>
    <definedName name="quantité">données!$C$2:$C$17</definedName>
    <definedName name="Zone">données!$A$2:$A$17</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30" i="9" l="1" a="1"/>
  <c r="C30" i="9"/>
  <c r="B30" i="9" a="1"/>
  <c r="B30" i="9"/>
  <c r="C29" i="9" a="1"/>
  <c r="C29" i="9"/>
  <c r="B29" i="9" a="1"/>
  <c r="B29" i="9"/>
  <c r="C28" i="9" a="1"/>
  <c r="C28" i="9"/>
  <c r="B28" i="9" a="1"/>
  <c r="B28" i="9"/>
  <c r="C26" i="9"/>
  <c r="B26" i="9"/>
  <c r="C26" i="1"/>
  <c r="C29" i="1" a="1"/>
  <c r="C29" i="1"/>
  <c r="C30" i="1" a="1"/>
  <c r="C30" i="1"/>
  <c r="C28" i="1" a="1"/>
  <c r="C28" i="1"/>
  <c r="B26" i="1"/>
  <c r="B29" i="1" a="1"/>
  <c r="B29" i="1"/>
  <c r="B30" i="1" a="1"/>
  <c r="B30" i="1"/>
  <c r="B28" i="1" a="1"/>
  <c r="B28" i="1"/>
</calcChain>
</file>

<file path=xl/sharedStrings.xml><?xml version="1.0" encoding="utf-8"?>
<sst xmlns="http://schemas.openxmlformats.org/spreadsheetml/2006/main" count="114" uniqueCount="28">
  <si>
    <t>Est</t>
  </si>
  <si>
    <t>Centre</t>
  </si>
  <si>
    <t>Ouest</t>
  </si>
  <si>
    <t>Sud</t>
  </si>
  <si>
    <t>Nord</t>
  </si>
  <si>
    <t>Produit</t>
  </si>
  <si>
    <t>XYZ</t>
  </si>
  <si>
    <t>ABC</t>
  </si>
  <si>
    <t>DEF</t>
  </si>
  <si>
    <t>Quantité</t>
  </si>
  <si>
    <t>Prix unitaire</t>
  </si>
  <si>
    <t>Coût unitaire</t>
  </si>
  <si>
    <t>Déterminez la recette et le profit pour chaque produit</t>
  </si>
  <si>
    <t>Déterminez la recette et le profit pour chaque marché</t>
  </si>
  <si>
    <t>Travail à faire :</t>
  </si>
  <si>
    <t>Recette</t>
  </si>
  <si>
    <t>Profit</t>
  </si>
  <si>
    <t>Total</t>
  </si>
  <si>
    <t>Par produit</t>
  </si>
  <si>
    <t>Par marché</t>
  </si>
  <si>
    <t>Déterminez la recette et le profit  pour l'ensemble des produits et des les marchés</t>
  </si>
  <si>
    <t>Les formules Array : un exemple</t>
  </si>
  <si>
    <r>
      <t>Le problème adapté de Jelen et Systrad (2007):</t>
    </r>
    <r>
      <rPr>
        <sz val="10"/>
        <rFont val="Arial"/>
      </rPr>
      <t xml:space="preserve">
Une entreprise vend trois produits référencés ABC, DEF et XYZ. </t>
    </r>
  </si>
  <si>
    <t xml:space="preserve">Les données
Vous avez les quantités vendues, le prix unitaire et le coût unitaire relatifs à plusieurs contrats.
</t>
  </si>
  <si>
    <r>
      <t xml:space="preserve">Objectifs :
</t>
    </r>
    <r>
      <rPr>
        <sz val="10"/>
        <rFont val="Arial"/>
      </rPr>
      <t xml:space="preserve">Déterminez les recettes et les profits :
- pour l'ensemble de l'activité de l'entreprise
- par zone géographique
- par produit
</t>
    </r>
  </si>
  <si>
    <r>
      <t xml:space="preserve">Programme VBA :
</t>
    </r>
    <r>
      <rPr>
        <sz val="10"/>
        <rFont val="Arial"/>
      </rPr>
      <t xml:space="preserve">Déterminez les recettes et les profits :
- pour l'ensemble de l'activité de l'entreprise
- par zone géographique
- par produit
Créer des noms pour identifier clairement les plages de cellules (Produits, Zones, Quantités, Prix_unitaire, Coût_unitaire)
Créer des boites de dialogues pour demander les nombres de produits (3 dans ce cas) et le nombre de zones géographiques (5 dans ce cas)
Calculer les recettes et les profits par produits et par zone à l'aide d'une boucle for next.
Proposer à l'utilisateur d'afficher la recette ou le profit d'un produit de son choix.
</t>
    </r>
  </si>
  <si>
    <t>Elle est présente sur 5 zones géographiques, le Nord, le Sud, l'Est, l'Ouest et le Centre.</t>
  </si>
  <si>
    <t>Tableau 1. Recette et profit par produits et par zone</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</si>
</sst>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0"/>
      <name val="Arial"/>
    </font>
    <font>
      <sz val="10"/>
      <name val="Arial"/>
      <family val="2"/>
    </font>
    <font>
      <b/>
      <sz val="10"/>
      <name val="Arial"/>
      <family val="2"/>
    </font>
    <font>
      <b/>
      <sz val="10"/>
      <name val="Arial"/>
      <family val="2"/>
    </font>
    <font>
      <sz val="8"/>
      <name val="Arial"/>
      <family val="2"/>
    </font>
    <font>
      <sz val="10"/>
      <name val="Arial"/>
      <family val="2"/>
    </font>
    <font>
      <b/>
      <sz val="16"/>
      <color indexed="9"/>
      <name val="Arial"/>
      <family val="2"/>
    </font>
    <font>
      <u/>
      <sz val="10"/>
      <color theme="10"/>
      <name val="Arial"/>
    </font>
    <font>
      <u/>
      <sz val="10"/>
      <color theme="11"/>
      <name val="Arial"/>
    </font>
    <font>
      <sz val="12"/>
      <color indexed="72"/>
      <name val="Lucida Grande"/>
    </font>
  </fonts>
  <fills count="5">
    <fill>
      <patternFill patternType="none"/>
    </fill>
    <fill>
      <patternFill patternType="gray125"/>
    </fill>
    <fill>
      <patternFill patternType="solid">
        <fgColor indexed="22"/>
        <bgColor indexed="64"/>
      </patternFill>
    </fill>
    <fill>
      <patternFill patternType="solid">
        <fgColor indexed="16"/>
        <bgColor indexed="64"/>
      </patternFill>
    </fill>
    <fill>
      <patternFill patternType="solid">
        <fgColor indexed="9"/>
        <bgColor indexed="64"/>
      </patternFill>
    </fill>
  </fills>
  <borders count="3">
    <border>
      <left/>
      <right/>
      <top/>
      <bottom/>
      <diagonal/>
    </border>
    <border>
      <left/>
      <right/>
      <top style="medium">
        <color auto="1"/>
      </top>
      <bottom style="medium">
        <color auto="1"/>
      </bottom>
      <diagonal/>
    </border>
    <border>
      <left/>
      <right/>
      <top/>
      <bottom style="medium">
        <color auto="1"/>
      </bottom>
      <diagonal/>
    </border>
  </borders>
  <cellStyleXfs count="7">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23">
    <xf numFmtId="0" fontId="0" fillId="0" borderId="0" xfId="0"/>
    <xf numFmtId="0" fontId="2" fillId="2" borderId="1" xfId="0" applyFont="1" applyFill="1" applyBorder="1" applyAlignment="1">
      <alignment horizontal="center" vertical="center"/>
    </xf>
    <xf numFmtId="0" fontId="0" fillId="2" borderId="1" xfId="0" applyFill="1" applyBorder="1"/>
    <xf numFmtId="0" fontId="3" fillId="0" borderId="0" xfId="0" applyFont="1"/>
    <xf numFmtId="0" fontId="3" fillId="0" borderId="0" xfId="0" applyFont="1" applyAlignment="1">
      <alignment horizontal="left"/>
    </xf>
    <xf numFmtId="0" fontId="3" fillId="0" borderId="2" xfId="0" applyFont="1" applyBorder="1" applyAlignment="1">
      <alignment horizontal="left"/>
    </xf>
    <xf numFmtId="0" fontId="2" fillId="2" borderId="1" xfId="0" applyFont="1" applyFill="1" applyBorder="1" applyAlignment="1">
      <alignment horizontal="left" vertical="center"/>
    </xf>
    <xf numFmtId="4" fontId="0" fillId="0" borderId="0" xfId="0" applyNumberFormat="1"/>
    <xf numFmtId="4" fontId="0" fillId="0" borderId="2" xfId="0" applyNumberFormat="1" applyBorder="1"/>
    <xf numFmtId="0" fontId="3" fillId="0" borderId="0" xfId="0" applyFont="1" applyFill="1" applyBorder="1" applyAlignment="1">
      <alignment horizontal="left"/>
    </xf>
    <xf numFmtId="0" fontId="0" fillId="0" borderId="0" xfId="0" applyBorder="1"/>
    <xf numFmtId="0" fontId="1" fillId="0" borderId="0" xfId="0" applyFont="1"/>
    <xf numFmtId="0" fontId="1" fillId="0" borderId="0" xfId="0" applyFont="1" applyBorder="1"/>
    <xf numFmtId="0" fontId="5" fillId="0" borderId="0" xfId="0" applyFont="1"/>
    <xf numFmtId="0" fontId="0" fillId="3" borderId="0" xfId="0" applyFill="1"/>
    <xf numFmtId="0" fontId="0" fillId="4" borderId="0" xfId="0" applyFill="1" applyAlignment="1">
      <alignment horizontal="justify" vertical="top" wrapText="1"/>
    </xf>
    <xf numFmtId="0" fontId="0" fillId="0" borderId="0" xfId="0" applyFont="1" applyFill="1" applyBorder="1"/>
    <xf numFmtId="0" fontId="0" fillId="4" borderId="0" xfId="0" applyFill="1"/>
    <xf numFmtId="0" fontId="2" fillId="0" borderId="0" xfId="0" applyFont="1" applyFill="1" applyBorder="1" applyAlignment="1">
      <alignment horizontal="left"/>
    </xf>
    <xf numFmtId="0" fontId="3" fillId="4" borderId="0" xfId="0" applyFont="1" applyFill="1" applyAlignment="1">
      <alignment horizontal="justify" vertical="top" wrapText="1"/>
    </xf>
    <xf numFmtId="0" fontId="6" fillId="3" borderId="0" xfId="0" applyFont="1" applyFill="1" applyAlignment="1">
      <alignment horizontal="center" vertical="center" wrapText="1"/>
    </xf>
    <xf numFmtId="0" fontId="0" fillId="4" borderId="0" xfId="0" applyFill="1" applyAlignment="1">
      <alignment horizontal="justify" vertical="top" wrapText="1"/>
    </xf>
    <xf numFmtId="0" fontId="5" fillId="4" borderId="0" xfId="0" applyFont="1" applyFill="1" applyAlignment="1">
      <alignment horizontal="left" vertical="top" wrapText="1"/>
    </xf>
  </cellXfs>
  <cellStyles count="7">
    <cellStyle name="Lien hypertexte" xfId="1" builtinId="8" hidden="1"/>
    <cellStyle name="Lien hypertexte" xfId="3" builtinId="8" hidden="1"/>
    <cellStyle name="Lien hypertexte" xfId="5" builtinId="8" hidden="1"/>
    <cellStyle name="Lien hypertexte visité" xfId="2" builtinId="9" hidden="1"/>
    <cellStyle name="Lien hypertexte visité" xfId="4" builtinId="9" hidden="1"/>
    <cellStyle name="Lien hypertexte visité" xfId="6" builtinId="9" hidden="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219075</xdr:colOff>
      <xdr:row>19</xdr:row>
      <xdr:rowOff>19050</xdr:rowOff>
    </xdr:from>
    <xdr:to>
      <xdr:col>0</xdr:col>
      <xdr:colOff>314325</xdr:colOff>
      <xdr:row>19</xdr:row>
      <xdr:rowOff>104775</xdr:rowOff>
    </xdr:to>
    <xdr:sp macro="" textlink="">
      <xdr:nvSpPr>
        <xdr:cNvPr id="1025" name="Line 1"/>
        <xdr:cNvSpPr>
          <a:spLocks noChangeShapeType="1"/>
        </xdr:cNvSpPr>
      </xdr:nvSpPr>
      <xdr:spPr bwMode="auto">
        <a:xfrm>
          <a:off x="219075" y="3209925"/>
          <a:ext cx="95250" cy="85725"/>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7</xdr:col>
          <xdr:colOff>368300</xdr:colOff>
          <xdr:row>1</xdr:row>
          <xdr:rowOff>139700</xdr:rowOff>
        </xdr:from>
        <xdr:to>
          <xdr:col>9</xdr:col>
          <xdr:colOff>0</xdr:colOff>
          <xdr:row>6</xdr:row>
          <xdr:rowOff>63500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Lucida Grande"/>
                  <a:ea typeface="Lucida Grande"/>
                  <a:cs typeface="Lucida Grande"/>
                </a:rPr>
                <a:t>Profit TM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219075</xdr:colOff>
      <xdr:row>19</xdr:row>
      <xdr:rowOff>19050</xdr:rowOff>
    </xdr:from>
    <xdr:to>
      <xdr:col>0</xdr:col>
      <xdr:colOff>314325</xdr:colOff>
      <xdr:row>19</xdr:row>
      <xdr:rowOff>104775</xdr:rowOff>
    </xdr:to>
    <xdr:sp macro="" textlink="">
      <xdr:nvSpPr>
        <xdr:cNvPr id="2" name="Line 1"/>
        <xdr:cNvSpPr>
          <a:spLocks noChangeShapeType="1"/>
        </xdr:cNvSpPr>
      </xdr:nvSpPr>
      <xdr:spPr bwMode="auto">
        <a:xfrm>
          <a:off x="219075" y="3041650"/>
          <a:ext cx="95250" cy="85725"/>
        </a:xfrm>
        <a:prstGeom prst="line">
          <a:avLst/>
        </a:prstGeom>
        <a:noFill/>
        <a:ln w="9525">
          <a:solidFill>
            <a:srgbClr val="000000"/>
          </a:solidFill>
          <a:round/>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dimension ref="A1:K37"/>
  <sheetViews>
    <sheetView topLeftCell="A2" workbookViewId="0">
      <selection activeCell="A16" sqref="A16:K21"/>
    </sheetView>
  </sheetViews>
  <sheetFormatPr baseColWidth="10" defaultRowHeight="12" x14ac:dyDescent="0"/>
  <sheetData>
    <row r="1" spans="1:11" s="14" customFormat="1">
      <c r="D1" s="20" t="s">
        <v>21</v>
      </c>
      <c r="E1" s="20"/>
      <c r="F1" s="20"/>
      <c r="G1" s="20"/>
      <c r="H1" s="20"/>
      <c r="I1" s="20"/>
    </row>
    <row r="2" spans="1:11" s="14" customFormat="1">
      <c r="D2" s="20"/>
      <c r="E2" s="20"/>
      <c r="F2" s="20"/>
      <c r="G2" s="20"/>
      <c r="H2" s="20"/>
      <c r="I2" s="20"/>
    </row>
    <row r="3" spans="1:11" s="14" customFormat="1">
      <c r="D3" s="20"/>
      <c r="E3" s="20"/>
      <c r="F3" s="20"/>
      <c r="G3" s="20"/>
      <c r="H3" s="20"/>
      <c r="I3" s="20"/>
    </row>
    <row r="4" spans="1:11" s="14" customFormat="1">
      <c r="D4" s="20"/>
      <c r="E4" s="20"/>
      <c r="F4" s="20"/>
      <c r="G4" s="20"/>
      <c r="H4" s="20"/>
      <c r="I4" s="20"/>
    </row>
    <row r="5" spans="1:11" s="14" customFormat="1">
      <c r="D5" s="20"/>
      <c r="E5" s="20"/>
      <c r="F5" s="20"/>
      <c r="G5" s="20"/>
      <c r="H5" s="20"/>
      <c r="I5" s="20"/>
    </row>
    <row r="6" spans="1:11">
      <c r="A6" s="17"/>
      <c r="B6" s="17"/>
      <c r="C6" s="17"/>
      <c r="D6" s="17"/>
      <c r="E6" s="17"/>
      <c r="F6" s="17"/>
      <c r="G6" s="17"/>
      <c r="H6" s="17"/>
      <c r="I6" s="17"/>
      <c r="J6" s="17"/>
      <c r="K6" s="17"/>
    </row>
    <row r="7" spans="1:11" ht="11.25" customHeight="1">
      <c r="A7" s="17"/>
      <c r="B7" s="17"/>
      <c r="C7" s="17"/>
      <c r="D7" s="17"/>
      <c r="E7" s="17"/>
      <c r="F7" s="17"/>
      <c r="G7" s="17"/>
      <c r="H7" s="17"/>
      <c r="I7" s="17"/>
      <c r="J7" s="17"/>
      <c r="K7" s="17"/>
    </row>
    <row r="8" spans="1:11" ht="18.75" customHeight="1">
      <c r="A8" s="19" t="s">
        <v>22</v>
      </c>
      <c r="B8" s="21"/>
      <c r="C8" s="21"/>
      <c r="D8" s="21"/>
      <c r="E8" s="21"/>
      <c r="F8" s="21"/>
      <c r="G8" s="21"/>
      <c r="H8" s="21"/>
      <c r="I8" s="21"/>
      <c r="J8" s="21"/>
      <c r="K8" s="15"/>
    </row>
    <row r="9" spans="1:11" ht="9.75" customHeight="1">
      <c r="A9" s="21"/>
      <c r="B9" s="21"/>
      <c r="C9" s="21"/>
      <c r="D9" s="21"/>
      <c r="E9" s="21"/>
      <c r="F9" s="21"/>
      <c r="G9" s="21"/>
      <c r="H9" s="21"/>
      <c r="I9" s="21"/>
      <c r="J9" s="21"/>
      <c r="K9" s="15"/>
    </row>
    <row r="10" spans="1:11">
      <c r="A10" s="21" t="s">
        <v>26</v>
      </c>
      <c r="B10" s="21"/>
      <c r="C10" s="21"/>
      <c r="D10" s="21"/>
      <c r="E10" s="21"/>
      <c r="F10" s="21"/>
      <c r="G10" s="21"/>
      <c r="H10" s="21"/>
      <c r="I10" s="21"/>
      <c r="J10" s="21"/>
      <c r="K10" s="15"/>
    </row>
    <row r="11" spans="1:11">
      <c r="A11" s="15"/>
      <c r="B11" s="15"/>
      <c r="C11" s="15"/>
      <c r="D11" s="15"/>
      <c r="E11" s="15"/>
      <c r="F11" s="15"/>
      <c r="G11" s="15"/>
      <c r="H11" s="15"/>
      <c r="I11" s="15"/>
      <c r="J11" s="15"/>
      <c r="K11" s="15"/>
    </row>
    <row r="12" spans="1:11" ht="15" customHeight="1">
      <c r="A12" s="22" t="s">
        <v>23</v>
      </c>
      <c r="B12" s="22"/>
      <c r="C12" s="22"/>
      <c r="D12" s="22"/>
      <c r="E12" s="22"/>
      <c r="F12" s="22"/>
      <c r="G12" s="22"/>
      <c r="H12" s="22"/>
      <c r="I12" s="22"/>
      <c r="J12" s="22"/>
      <c r="K12" s="22"/>
    </row>
    <row r="13" spans="1:11">
      <c r="A13" s="22"/>
      <c r="B13" s="22"/>
      <c r="C13" s="22"/>
      <c r="D13" s="22"/>
      <c r="E13" s="22"/>
      <c r="F13" s="22"/>
      <c r="G13" s="22"/>
      <c r="H13" s="22"/>
      <c r="I13" s="22"/>
      <c r="J13" s="22"/>
      <c r="K13" s="22"/>
    </row>
    <row r="14" spans="1:11">
      <c r="A14" s="22"/>
      <c r="B14" s="22"/>
      <c r="C14" s="22"/>
      <c r="D14" s="22"/>
      <c r="E14" s="22"/>
      <c r="F14" s="22"/>
      <c r="G14" s="22"/>
      <c r="H14" s="22"/>
      <c r="I14" s="22"/>
      <c r="J14" s="22"/>
      <c r="K14" s="22"/>
    </row>
    <row r="15" spans="1:11">
      <c r="A15" s="22"/>
      <c r="B15" s="22"/>
      <c r="C15" s="22"/>
      <c r="D15" s="22"/>
      <c r="E15" s="22"/>
      <c r="F15" s="22"/>
      <c r="G15" s="22"/>
      <c r="H15" s="22"/>
      <c r="I15" s="22"/>
      <c r="J15" s="22"/>
      <c r="K15" s="22"/>
    </row>
    <row r="16" spans="1:11">
      <c r="A16" s="19" t="s">
        <v>24</v>
      </c>
      <c r="B16" s="19"/>
      <c r="C16" s="19"/>
      <c r="D16" s="19"/>
      <c r="E16" s="19"/>
      <c r="F16" s="19"/>
      <c r="G16" s="19"/>
      <c r="H16" s="19"/>
      <c r="I16" s="19"/>
      <c r="J16" s="19"/>
      <c r="K16" s="19"/>
    </row>
    <row r="17" spans="1:11">
      <c r="A17" s="19"/>
      <c r="B17" s="19"/>
      <c r="C17" s="19"/>
      <c r="D17" s="19"/>
      <c r="E17" s="19"/>
      <c r="F17" s="19"/>
      <c r="G17" s="19"/>
      <c r="H17" s="19"/>
      <c r="I17" s="19"/>
      <c r="J17" s="19"/>
      <c r="K17" s="19"/>
    </row>
    <row r="18" spans="1:11">
      <c r="A18" s="19"/>
      <c r="B18" s="19"/>
      <c r="C18" s="19"/>
      <c r="D18" s="19"/>
      <c r="E18" s="19"/>
      <c r="F18" s="19"/>
      <c r="G18" s="19"/>
      <c r="H18" s="19"/>
      <c r="I18" s="19"/>
      <c r="J18" s="19"/>
      <c r="K18" s="19"/>
    </row>
    <row r="19" spans="1:11">
      <c r="A19" s="19"/>
      <c r="B19" s="19"/>
      <c r="C19" s="19"/>
      <c r="D19" s="19"/>
      <c r="E19" s="19"/>
      <c r="F19" s="19"/>
      <c r="G19" s="19"/>
      <c r="H19" s="19"/>
      <c r="I19" s="19"/>
      <c r="J19" s="19"/>
      <c r="K19" s="19"/>
    </row>
    <row r="20" spans="1:11">
      <c r="A20" s="19"/>
      <c r="B20" s="19"/>
      <c r="C20" s="19"/>
      <c r="D20" s="19"/>
      <c r="E20" s="19"/>
      <c r="F20" s="19"/>
      <c r="G20" s="19"/>
      <c r="H20" s="19"/>
      <c r="I20" s="19"/>
      <c r="J20" s="19"/>
      <c r="K20" s="19"/>
    </row>
    <row r="21" spans="1:11">
      <c r="A21" s="19"/>
      <c r="B21" s="19"/>
      <c r="C21" s="19"/>
      <c r="D21" s="19"/>
      <c r="E21" s="19"/>
      <c r="F21" s="19"/>
      <c r="G21" s="19"/>
      <c r="H21" s="19"/>
      <c r="I21" s="19"/>
      <c r="J21" s="19"/>
      <c r="K21" s="19"/>
    </row>
    <row r="22" spans="1:11">
      <c r="A22" s="17"/>
      <c r="B22" s="17"/>
      <c r="C22" s="17"/>
      <c r="D22" s="17"/>
      <c r="E22" s="17"/>
      <c r="F22" s="17"/>
      <c r="G22" s="17"/>
      <c r="H22" s="17"/>
      <c r="I22" s="17"/>
      <c r="J22" s="17"/>
      <c r="K22" s="17"/>
    </row>
    <row r="23" spans="1:11">
      <c r="A23" s="19" t="s">
        <v>25</v>
      </c>
      <c r="B23" s="19"/>
      <c r="C23" s="19"/>
      <c r="D23" s="19"/>
      <c r="E23" s="19"/>
      <c r="F23" s="19"/>
      <c r="G23" s="19"/>
      <c r="H23" s="19"/>
      <c r="I23" s="19"/>
      <c r="J23" s="19"/>
      <c r="K23" s="19"/>
    </row>
    <row r="24" spans="1:11">
      <c r="A24" s="19"/>
      <c r="B24" s="19"/>
      <c r="C24" s="19"/>
      <c r="D24" s="19"/>
      <c r="E24" s="19"/>
      <c r="F24" s="19"/>
      <c r="G24" s="19"/>
      <c r="H24" s="19"/>
      <c r="I24" s="19"/>
      <c r="J24" s="19"/>
      <c r="K24" s="19"/>
    </row>
    <row r="25" spans="1:11">
      <c r="A25" s="19"/>
      <c r="B25" s="19"/>
      <c r="C25" s="19"/>
      <c r="D25" s="19"/>
      <c r="E25" s="19"/>
      <c r="F25" s="19"/>
      <c r="G25" s="19"/>
      <c r="H25" s="19"/>
      <c r="I25" s="19"/>
      <c r="J25" s="19"/>
      <c r="K25" s="19"/>
    </row>
    <row r="26" spans="1:11">
      <c r="A26" s="19"/>
      <c r="B26" s="19"/>
      <c r="C26" s="19"/>
      <c r="D26" s="19"/>
      <c r="E26" s="19"/>
      <c r="F26" s="19"/>
      <c r="G26" s="19"/>
      <c r="H26" s="19"/>
      <c r="I26" s="19"/>
      <c r="J26" s="19"/>
      <c r="K26" s="19"/>
    </row>
    <row r="27" spans="1:11">
      <c r="A27" s="19"/>
      <c r="B27" s="19"/>
      <c r="C27" s="19"/>
      <c r="D27" s="19"/>
      <c r="E27" s="19"/>
      <c r="F27" s="19"/>
      <c r="G27" s="19"/>
      <c r="H27" s="19"/>
      <c r="I27" s="19"/>
      <c r="J27" s="19"/>
      <c r="K27" s="19"/>
    </row>
    <row r="28" spans="1:11">
      <c r="A28" s="19"/>
      <c r="B28" s="19"/>
      <c r="C28" s="19"/>
      <c r="D28" s="19"/>
      <c r="E28" s="19"/>
      <c r="F28" s="19"/>
      <c r="G28" s="19"/>
      <c r="H28" s="19"/>
      <c r="I28" s="19"/>
      <c r="J28" s="19"/>
      <c r="K28" s="19"/>
    </row>
    <row r="29" spans="1:11">
      <c r="A29" s="19"/>
      <c r="B29" s="19"/>
      <c r="C29" s="19"/>
      <c r="D29" s="19"/>
      <c r="E29" s="19"/>
      <c r="F29" s="19"/>
      <c r="G29" s="19"/>
      <c r="H29" s="19"/>
      <c r="I29" s="19"/>
      <c r="J29" s="19"/>
      <c r="K29" s="19"/>
    </row>
    <row r="30" spans="1:11">
      <c r="A30" s="19"/>
      <c r="B30" s="19"/>
      <c r="C30" s="19"/>
      <c r="D30" s="19"/>
      <c r="E30" s="19"/>
      <c r="F30" s="19"/>
      <c r="G30" s="19"/>
      <c r="H30" s="19"/>
      <c r="I30" s="19"/>
      <c r="J30" s="19"/>
      <c r="K30" s="19"/>
    </row>
    <row r="31" spans="1:11">
      <c r="A31" s="19"/>
      <c r="B31" s="19"/>
      <c r="C31" s="19"/>
      <c r="D31" s="19"/>
      <c r="E31" s="19"/>
      <c r="F31" s="19"/>
      <c r="G31" s="19"/>
      <c r="H31" s="19"/>
      <c r="I31" s="19"/>
      <c r="J31" s="19"/>
      <c r="K31" s="19"/>
    </row>
    <row r="32" spans="1:11">
      <c r="A32" s="19"/>
      <c r="B32" s="19"/>
      <c r="C32" s="19"/>
      <c r="D32" s="19"/>
      <c r="E32" s="19"/>
      <c r="F32" s="19"/>
      <c r="G32" s="19"/>
      <c r="H32" s="19"/>
      <c r="I32" s="19"/>
      <c r="J32" s="19"/>
      <c r="K32" s="19"/>
    </row>
    <row r="33" spans="1:11">
      <c r="A33" s="17"/>
      <c r="B33" s="17"/>
      <c r="C33" s="17"/>
      <c r="D33" s="17"/>
      <c r="E33" s="17"/>
      <c r="F33" s="17"/>
      <c r="G33" s="17"/>
      <c r="H33" s="17"/>
      <c r="I33" s="17"/>
      <c r="J33" s="17"/>
      <c r="K33" s="17"/>
    </row>
    <row r="34" spans="1:11">
      <c r="A34" s="17"/>
      <c r="B34" s="17"/>
      <c r="C34" s="17"/>
      <c r="D34" s="17"/>
      <c r="E34" s="17"/>
      <c r="F34" s="17"/>
      <c r="G34" s="17"/>
      <c r="H34" s="17"/>
      <c r="I34" s="17"/>
      <c r="J34" s="17"/>
      <c r="K34" s="17"/>
    </row>
    <row r="35" spans="1:11">
      <c r="A35" s="17"/>
      <c r="B35" s="17"/>
      <c r="C35" s="17"/>
      <c r="D35" s="17"/>
      <c r="E35" s="17"/>
      <c r="F35" s="17"/>
      <c r="G35" s="17"/>
      <c r="H35" s="17"/>
      <c r="I35" s="17"/>
      <c r="J35" s="17"/>
      <c r="K35" s="17"/>
    </row>
    <row r="36" spans="1:11">
      <c r="A36" s="17"/>
      <c r="B36" s="17"/>
      <c r="C36" s="17"/>
      <c r="D36" s="17"/>
      <c r="E36" s="17"/>
      <c r="F36" s="17"/>
      <c r="G36" s="17"/>
      <c r="H36" s="17"/>
      <c r="I36" s="17"/>
      <c r="J36" s="17"/>
      <c r="K36" s="17"/>
    </row>
    <row r="37" spans="1:11">
      <c r="A37" s="17"/>
      <c r="B37" s="17"/>
      <c r="C37" s="17"/>
      <c r="D37" s="17"/>
      <c r="E37" s="17"/>
      <c r="F37" s="17"/>
      <c r="G37" s="17"/>
      <c r="H37" s="17"/>
      <c r="I37" s="17"/>
      <c r="J37" s="17"/>
      <c r="K37" s="17"/>
    </row>
  </sheetData>
  <mergeCells count="6">
    <mergeCell ref="A23:K32"/>
    <mergeCell ref="D1:I5"/>
    <mergeCell ref="A8:J9"/>
    <mergeCell ref="A10:J10"/>
    <mergeCell ref="A12:K15"/>
    <mergeCell ref="A16:K21"/>
  </mergeCells>
  <pageMargins left="0.78740157499999996" right="0.78740157499999996" top="0.984251969" bottom="0.984251969" header="0.4921259845" footer="0.492125984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enableFormatConditionsCalculation="0"/>
  <dimension ref="A1:G36"/>
  <sheetViews>
    <sheetView tabSelected="1" workbookViewId="0">
      <selection activeCell="A2" sqref="A2:A17"/>
    </sheetView>
  </sheetViews>
  <sheetFormatPr baseColWidth="10" defaultRowHeight="12" x14ac:dyDescent="0"/>
  <cols>
    <col min="2" max="2" width="26.1640625" bestFit="1" customWidth="1"/>
    <col min="3" max="3" width="12.1640625" customWidth="1"/>
    <col min="4" max="4" width="12.33203125" bestFit="1" customWidth="1"/>
    <col min="5" max="5" width="12.6640625" bestFit="1" customWidth="1"/>
  </cols>
  <sheetData>
    <row r="1" spans="1:7" ht="21" customHeight="1" thickBot="1">
      <c r="A1" s="2"/>
      <c r="B1" s="6" t="s">
        <v>5</v>
      </c>
      <c r="C1" s="1" t="s">
        <v>9</v>
      </c>
      <c r="D1" s="1" t="s">
        <v>10</v>
      </c>
      <c r="E1" s="1" t="s">
        <v>11</v>
      </c>
    </row>
    <row r="2" spans="1:7">
      <c r="A2" s="4" t="s">
        <v>0</v>
      </c>
      <c r="B2" s="4" t="s">
        <v>6</v>
      </c>
      <c r="C2" s="7">
        <v>1000</v>
      </c>
      <c r="D2" s="7">
        <v>22.81</v>
      </c>
      <c r="E2" s="7">
        <v>10.5</v>
      </c>
    </row>
    <row r="3" spans="1:7">
      <c r="A3" s="4" t="s">
        <v>1</v>
      </c>
      <c r="B3" s="4" t="s">
        <v>7</v>
      </c>
      <c r="C3" s="7">
        <v>100</v>
      </c>
      <c r="D3" s="7">
        <v>20</v>
      </c>
      <c r="E3" s="7">
        <v>9</v>
      </c>
    </row>
    <row r="4" spans="1:7">
      <c r="A4" s="4" t="s">
        <v>0</v>
      </c>
      <c r="B4" s="4" t="s">
        <v>8</v>
      </c>
      <c r="C4" s="7">
        <v>500</v>
      </c>
      <c r="D4" s="7">
        <v>15</v>
      </c>
      <c r="E4" s="7">
        <v>11</v>
      </c>
    </row>
    <row r="5" spans="1:7">
      <c r="A5" s="4" t="s">
        <v>4</v>
      </c>
      <c r="B5" s="4" t="s">
        <v>8</v>
      </c>
      <c r="C5" s="7">
        <v>400</v>
      </c>
      <c r="D5" s="7">
        <v>16</v>
      </c>
      <c r="E5" s="7">
        <v>11</v>
      </c>
    </row>
    <row r="6" spans="1:7">
      <c r="A6" s="4" t="s">
        <v>0</v>
      </c>
      <c r="B6" s="4" t="s">
        <v>7</v>
      </c>
      <c r="C6" s="7">
        <v>200</v>
      </c>
      <c r="D6" s="7">
        <v>21</v>
      </c>
      <c r="E6" s="7">
        <v>9</v>
      </c>
    </row>
    <row r="7" spans="1:7">
      <c r="A7" s="4" t="s">
        <v>2</v>
      </c>
      <c r="B7" s="4" t="s">
        <v>6</v>
      </c>
      <c r="C7" s="7">
        <v>1500</v>
      </c>
      <c r="D7" s="7">
        <v>23</v>
      </c>
      <c r="E7" s="7">
        <v>10.5</v>
      </c>
    </row>
    <row r="8" spans="1:7">
      <c r="A8" s="4" t="s">
        <v>3</v>
      </c>
      <c r="B8" s="4" t="s">
        <v>6</v>
      </c>
      <c r="C8" s="7">
        <v>300</v>
      </c>
      <c r="D8" s="7">
        <v>23.5</v>
      </c>
      <c r="E8" s="7">
        <v>10.5</v>
      </c>
    </row>
    <row r="9" spans="1:7">
      <c r="A9" s="4" t="s">
        <v>1</v>
      </c>
      <c r="B9" s="4" t="s">
        <v>7</v>
      </c>
      <c r="C9" s="7">
        <v>200</v>
      </c>
      <c r="D9" s="7">
        <v>21</v>
      </c>
      <c r="E9" s="7">
        <v>9</v>
      </c>
    </row>
    <row r="10" spans="1:7">
      <c r="A10" s="4" t="s">
        <v>1</v>
      </c>
      <c r="B10" s="4" t="s">
        <v>8</v>
      </c>
      <c r="C10" s="7">
        <v>400</v>
      </c>
      <c r="D10" s="7">
        <v>17</v>
      </c>
      <c r="E10" s="7">
        <v>11</v>
      </c>
    </row>
    <row r="11" spans="1:7">
      <c r="A11" s="4" t="s">
        <v>0</v>
      </c>
      <c r="B11" s="4" t="s">
        <v>7</v>
      </c>
      <c r="C11" s="7">
        <v>1000</v>
      </c>
      <c r="D11" s="7">
        <v>20</v>
      </c>
      <c r="E11" s="7">
        <v>9</v>
      </c>
    </row>
    <row r="12" spans="1:7">
      <c r="A12" s="4" t="s">
        <v>2</v>
      </c>
      <c r="B12" s="4" t="s">
        <v>8</v>
      </c>
      <c r="C12" s="7">
        <v>400</v>
      </c>
      <c r="D12" s="7">
        <v>15</v>
      </c>
      <c r="E12" s="7">
        <v>11</v>
      </c>
    </row>
    <row r="13" spans="1:7">
      <c r="A13" s="4" t="s">
        <v>1</v>
      </c>
      <c r="B13" s="4" t="s">
        <v>6</v>
      </c>
      <c r="C13" s="7">
        <v>500</v>
      </c>
      <c r="D13" s="7">
        <v>22</v>
      </c>
      <c r="E13" s="7">
        <v>10.5</v>
      </c>
    </row>
    <row r="14" spans="1:7">
      <c r="A14" s="4" t="s">
        <v>2</v>
      </c>
      <c r="B14" s="4" t="s">
        <v>7</v>
      </c>
      <c r="C14" s="7">
        <v>700</v>
      </c>
      <c r="D14" s="7">
        <v>22</v>
      </c>
      <c r="E14" s="7">
        <v>9</v>
      </c>
    </row>
    <row r="15" spans="1:7">
      <c r="A15" s="4" t="s">
        <v>3</v>
      </c>
      <c r="B15" s="4" t="s">
        <v>8</v>
      </c>
      <c r="C15" s="7">
        <v>900</v>
      </c>
      <c r="D15" s="7">
        <v>18</v>
      </c>
      <c r="E15" s="7">
        <v>11</v>
      </c>
    </row>
    <row r="16" spans="1:7">
      <c r="A16" s="4" t="s">
        <v>3</v>
      </c>
      <c r="B16" s="4" t="s">
        <v>6</v>
      </c>
      <c r="C16" s="7">
        <v>1000</v>
      </c>
      <c r="D16" s="7">
        <v>24</v>
      </c>
      <c r="E16" s="7">
        <v>10.5</v>
      </c>
      <c r="G16" s="7"/>
    </row>
    <row r="17" spans="1:5" ht="13" thickBot="1">
      <c r="A17" s="5" t="s">
        <v>4</v>
      </c>
      <c r="B17" s="5" t="s">
        <v>6</v>
      </c>
      <c r="C17" s="8">
        <v>200</v>
      </c>
      <c r="D17" s="8">
        <v>25</v>
      </c>
      <c r="E17" s="8">
        <v>10.5</v>
      </c>
    </row>
    <row r="19" spans="1:5">
      <c r="A19" s="9" t="s">
        <v>14</v>
      </c>
    </row>
    <row r="20" spans="1:5">
      <c r="A20" s="9" t="s">
        <v>20</v>
      </c>
    </row>
    <row r="21" spans="1:5">
      <c r="A21" s="9" t="s">
        <v>12</v>
      </c>
    </row>
    <row r="22" spans="1:5">
      <c r="A22" s="9" t="s">
        <v>13</v>
      </c>
    </row>
    <row r="24" spans="1:5" ht="13" thickBot="1">
      <c r="A24" s="18" t="s">
        <v>27</v>
      </c>
    </row>
    <row r="25" spans="1:5" ht="13" thickBot="1">
      <c r="A25" s="2"/>
      <c r="B25" s="6" t="s">
        <v>15</v>
      </c>
      <c r="C25" s="1" t="s">
        <v>16</v>
      </c>
    </row>
    <row r="26" spans="1:5">
      <c r="A26" s="3" t="s">
        <v>17</v>
      </c>
      <c r="B26">
        <f>SUMPRODUCT(quantité,prix)</f>
        <v>193060</v>
      </c>
      <c r="C26">
        <f>SUMPRODUCT(quantité*(prix-coût))</f>
        <v>97410</v>
      </c>
    </row>
    <row r="27" spans="1:5">
      <c r="A27" s="3" t="s">
        <v>18</v>
      </c>
    </row>
    <row r="28" spans="1:5">
      <c r="A28" s="13" t="s">
        <v>7</v>
      </c>
      <c r="B28">
        <f t="array" ref="B28">SUM(IF(Produit=A28,quantité*prix,0))</f>
        <v>45800</v>
      </c>
      <c r="C28">
        <f t="array" ref="C28">SUM(IF(A28=Produit,quantité*(prix-coût),0))</f>
        <v>26000</v>
      </c>
    </row>
    <row r="29" spans="1:5">
      <c r="A29" s="13" t="s">
        <v>8</v>
      </c>
      <c r="B29">
        <f t="array" ref="B29">SUM(IF(Produit=A29,quantité*prix,0))</f>
        <v>42900</v>
      </c>
      <c r="C29">
        <f t="array" ref="C29">SUM(IF(A29=Produit,quantité*(prix-coût),0))</f>
        <v>14300</v>
      </c>
    </row>
    <row r="30" spans="1:5">
      <c r="A30" s="13" t="s">
        <v>6</v>
      </c>
      <c r="B30">
        <f t="array" ref="B30">SUM(IF(Produit=A30,quantité*prix,0))</f>
        <v>104360</v>
      </c>
      <c r="C30">
        <f t="array" ref="C30">SUM(IF(A30=Produit,quantité*(prix-coût),0))</f>
        <v>57110</v>
      </c>
    </row>
    <row r="31" spans="1:5">
      <c r="A31" s="3" t="s">
        <v>19</v>
      </c>
    </row>
    <row r="32" spans="1:5">
      <c r="A32" s="11" t="s">
        <v>4</v>
      </c>
    </row>
    <row r="33" spans="1:2">
      <c r="A33" s="11" t="s">
        <v>3</v>
      </c>
    </row>
    <row r="34" spans="1:2">
      <c r="A34" s="11" t="s">
        <v>0</v>
      </c>
    </row>
    <row r="35" spans="1:2">
      <c r="A35" s="12" t="s">
        <v>2</v>
      </c>
      <c r="B35" s="10"/>
    </row>
    <row r="36" spans="1:2">
      <c r="A36" s="16" t="s">
        <v>1</v>
      </c>
    </row>
  </sheetData>
  <phoneticPr fontId="4" type="noConversion"/>
  <pageMargins left="0.78740157499999996" right="0.78740157499999996" top="0.984251969" bottom="0.984251969" header="0.4921259845" footer="0.492125984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profitm">
                <anchor moveWithCells="1" sizeWithCells="1">
                  <from>
                    <xdr:col>7</xdr:col>
                    <xdr:colOff>368300</xdr:colOff>
                    <xdr:row>1</xdr:row>
                    <xdr:rowOff>139700</xdr:rowOff>
                  </from>
                  <to>
                    <xdr:col>9</xdr:col>
                    <xdr:colOff>0</xdr:colOff>
                    <xdr:row>6</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A1:G36"/>
  <sheetViews>
    <sheetView workbookViewId="0">
      <selection activeCell="D36" sqref="D36"/>
    </sheetView>
  </sheetViews>
  <sheetFormatPr baseColWidth="10" defaultRowHeight="12" x14ac:dyDescent="0"/>
  <cols>
    <col min="2" max="2" width="26.1640625" bestFit="1" customWidth="1"/>
    <col min="3" max="3" width="12.1640625" customWidth="1"/>
    <col min="4" max="4" width="12.33203125" bestFit="1" customWidth="1"/>
    <col min="5" max="5" width="12.6640625" bestFit="1" customWidth="1"/>
  </cols>
  <sheetData>
    <row r="1" spans="1:7" ht="21" customHeight="1" thickBot="1">
      <c r="A1" s="2"/>
      <c r="B1" s="6" t="s">
        <v>5</v>
      </c>
      <c r="C1" s="1" t="s">
        <v>9</v>
      </c>
      <c r="D1" s="1" t="s">
        <v>10</v>
      </c>
      <c r="E1" s="1" t="s">
        <v>11</v>
      </c>
    </row>
    <row r="2" spans="1:7">
      <c r="A2" s="4" t="s">
        <v>0</v>
      </c>
      <c r="B2" s="4" t="s">
        <v>6</v>
      </c>
      <c r="C2" s="7">
        <v>1000</v>
      </c>
      <c r="D2" s="7">
        <v>22.81</v>
      </c>
      <c r="E2" s="7">
        <v>10.5</v>
      </c>
    </row>
    <row r="3" spans="1:7">
      <c r="A3" s="4" t="s">
        <v>1</v>
      </c>
      <c r="B3" s="4" t="s">
        <v>7</v>
      </c>
      <c r="C3" s="7">
        <v>100</v>
      </c>
      <c r="D3" s="7">
        <v>20</v>
      </c>
      <c r="E3" s="7">
        <v>9</v>
      </c>
    </row>
    <row r="4" spans="1:7">
      <c r="A4" s="4" t="s">
        <v>0</v>
      </c>
      <c r="B4" s="4" t="s">
        <v>8</v>
      </c>
      <c r="C4" s="7">
        <v>500</v>
      </c>
      <c r="D4" s="7">
        <v>15</v>
      </c>
      <c r="E4" s="7">
        <v>11</v>
      </c>
    </row>
    <row r="5" spans="1:7">
      <c r="A5" s="4" t="s">
        <v>4</v>
      </c>
      <c r="B5" s="4" t="s">
        <v>8</v>
      </c>
      <c r="C5" s="7">
        <v>400</v>
      </c>
      <c r="D5" s="7">
        <v>16</v>
      </c>
      <c r="E5" s="7">
        <v>11</v>
      </c>
    </row>
    <row r="6" spans="1:7">
      <c r="A6" s="4" t="s">
        <v>0</v>
      </c>
      <c r="B6" s="4" t="s">
        <v>7</v>
      </c>
      <c r="C6" s="7">
        <v>200</v>
      </c>
      <c r="D6" s="7">
        <v>21</v>
      </c>
      <c r="E6" s="7">
        <v>9</v>
      </c>
    </row>
    <row r="7" spans="1:7">
      <c r="A7" s="4" t="s">
        <v>2</v>
      </c>
      <c r="B7" s="4" t="s">
        <v>6</v>
      </c>
      <c r="C7" s="7">
        <v>1500</v>
      </c>
      <c r="D7" s="7">
        <v>23</v>
      </c>
      <c r="E7" s="7">
        <v>10.5</v>
      </c>
    </row>
    <row r="8" spans="1:7">
      <c r="A8" s="4" t="s">
        <v>3</v>
      </c>
      <c r="B8" s="4" t="s">
        <v>6</v>
      </c>
      <c r="C8" s="7">
        <v>300</v>
      </c>
      <c r="D8" s="7">
        <v>23.5</v>
      </c>
      <c r="E8" s="7">
        <v>10.5</v>
      </c>
    </row>
    <row r="9" spans="1:7">
      <c r="A9" s="4" t="s">
        <v>1</v>
      </c>
      <c r="B9" s="4" t="s">
        <v>7</v>
      </c>
      <c r="C9" s="7">
        <v>200</v>
      </c>
      <c r="D9" s="7">
        <v>21</v>
      </c>
      <c r="E9" s="7">
        <v>9</v>
      </c>
    </row>
    <row r="10" spans="1:7">
      <c r="A10" s="4" t="s">
        <v>1</v>
      </c>
      <c r="B10" s="4" t="s">
        <v>8</v>
      </c>
      <c r="C10" s="7">
        <v>400</v>
      </c>
      <c r="D10" s="7">
        <v>17</v>
      </c>
      <c r="E10" s="7">
        <v>11</v>
      </c>
    </row>
    <row r="11" spans="1:7">
      <c r="A11" s="4" t="s">
        <v>0</v>
      </c>
      <c r="B11" s="4" t="s">
        <v>7</v>
      </c>
      <c r="C11" s="7">
        <v>1000</v>
      </c>
      <c r="D11" s="7">
        <v>20</v>
      </c>
      <c r="E11" s="7">
        <v>9</v>
      </c>
    </row>
    <row r="12" spans="1:7">
      <c r="A12" s="4" t="s">
        <v>2</v>
      </c>
      <c r="B12" s="4" t="s">
        <v>8</v>
      </c>
      <c r="C12" s="7">
        <v>400</v>
      </c>
      <c r="D12" s="7">
        <v>15</v>
      </c>
      <c r="E12" s="7">
        <v>11</v>
      </c>
    </row>
    <row r="13" spans="1:7">
      <c r="A13" s="4" t="s">
        <v>1</v>
      </c>
      <c r="B13" s="4" t="s">
        <v>6</v>
      </c>
      <c r="C13" s="7">
        <v>500</v>
      </c>
      <c r="D13" s="7">
        <v>22</v>
      </c>
      <c r="E13" s="7">
        <v>10.5</v>
      </c>
    </row>
    <row r="14" spans="1:7">
      <c r="A14" s="4" t="s">
        <v>2</v>
      </c>
      <c r="B14" s="4" t="s">
        <v>7</v>
      </c>
      <c r="C14" s="7">
        <v>700</v>
      </c>
      <c r="D14" s="7">
        <v>22</v>
      </c>
      <c r="E14" s="7">
        <v>9</v>
      </c>
    </row>
    <row r="15" spans="1:7">
      <c r="A15" s="4" t="s">
        <v>3</v>
      </c>
      <c r="B15" s="4" t="s">
        <v>8</v>
      </c>
      <c r="C15" s="7">
        <v>900</v>
      </c>
      <c r="D15" s="7">
        <v>18</v>
      </c>
      <c r="E15" s="7">
        <v>11</v>
      </c>
    </row>
    <row r="16" spans="1:7">
      <c r="A16" s="4" t="s">
        <v>3</v>
      </c>
      <c r="B16" s="4" t="s">
        <v>6</v>
      </c>
      <c r="C16" s="7">
        <v>1000</v>
      </c>
      <c r="D16" s="7">
        <v>24</v>
      </c>
      <c r="E16" s="7">
        <v>10.5</v>
      </c>
      <c r="G16" s="7"/>
    </row>
    <row r="17" spans="1:5" ht="13" thickBot="1">
      <c r="A17" s="5" t="s">
        <v>4</v>
      </c>
      <c r="B17" s="5" t="s">
        <v>6</v>
      </c>
      <c r="C17" s="8">
        <v>200</v>
      </c>
      <c r="D17" s="8">
        <v>25</v>
      </c>
      <c r="E17" s="8">
        <v>10.5</v>
      </c>
    </row>
    <row r="19" spans="1:5">
      <c r="A19" s="9" t="s">
        <v>14</v>
      </c>
    </row>
    <row r="20" spans="1:5">
      <c r="A20" s="9" t="s">
        <v>20</v>
      </c>
    </row>
    <row r="21" spans="1:5">
      <c r="A21" s="9" t="s">
        <v>12</v>
      </c>
    </row>
    <row r="22" spans="1:5">
      <c r="A22" s="9" t="s">
        <v>13</v>
      </c>
    </row>
    <row r="24" spans="1:5" ht="13" thickBot="1">
      <c r="A24" s="18" t="s">
        <v>27</v>
      </c>
    </row>
    <row r="25" spans="1:5" ht="13" thickBot="1">
      <c r="A25" s="2"/>
      <c r="B25" s="6" t="s">
        <v>15</v>
      </c>
      <c r="C25" s="1" t="s">
        <v>16</v>
      </c>
    </row>
    <row r="26" spans="1:5">
      <c r="A26" s="3" t="s">
        <v>17</v>
      </c>
      <c r="B26">
        <f>SUMPRODUCT(quantité,prix)</f>
        <v>193060</v>
      </c>
      <c r="C26">
        <f>SUMPRODUCT(quantité*(prix-coût))</f>
        <v>97410</v>
      </c>
    </row>
    <row r="27" spans="1:5">
      <c r="A27" s="3" t="s">
        <v>18</v>
      </c>
    </row>
    <row r="28" spans="1:5">
      <c r="A28" s="13" t="s">
        <v>7</v>
      </c>
      <c r="B28">
        <f t="array" ref="B28">SUM(IF(Produit=A28,quantité*prix,0))</f>
        <v>45800</v>
      </c>
      <c r="C28">
        <f t="array" ref="C28">SUM(IF(A28=Produit,quantité*(prix-coût),0))</f>
        <v>26000</v>
      </c>
    </row>
    <row r="29" spans="1:5">
      <c r="A29" s="13" t="s">
        <v>8</v>
      </c>
      <c r="B29">
        <f t="array" ref="B29">SUM(IF(Produit=A29,quantité*prix,0))</f>
        <v>42900</v>
      </c>
      <c r="C29">
        <f t="array" ref="C29">SUM(IF(A29=Produit,quantité*(prix-coût),0))</f>
        <v>14300</v>
      </c>
    </row>
    <row r="30" spans="1:5">
      <c r="A30" s="13" t="s">
        <v>6</v>
      </c>
      <c r="B30">
        <f t="array" ref="B30">SUM(IF(Produit=A30,quantité*prix,0))</f>
        <v>104360</v>
      </c>
      <c r="C30">
        <f t="array" ref="C30">SUM(IF(A30=Produit,quantité*(prix-coût),0))</f>
        <v>57110</v>
      </c>
    </row>
    <row r="31" spans="1:5">
      <c r="A31" s="3" t="s">
        <v>19</v>
      </c>
    </row>
    <row r="32" spans="1:5">
      <c r="A32" s="11" t="s">
        <v>4</v>
      </c>
    </row>
    <row r="33" spans="1:2">
      <c r="A33" s="11" t="s">
        <v>3</v>
      </c>
    </row>
    <row r="34" spans="1:2">
      <c r="A34" s="11" t="s">
        <v>0</v>
      </c>
    </row>
    <row r="35" spans="1:2">
      <c r="A35" s="12" t="s">
        <v>2</v>
      </c>
      <c r="B35" s="10"/>
    </row>
    <row r="36" spans="1:2">
      <c r="A36" s="16" t="s">
        <v>1</v>
      </c>
    </row>
  </sheetData>
  <pageMargins left="0.75" right="0.75" top="1" bottom="1" header="0.5" footer="0.5"/>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3</vt:i4>
      </vt:variant>
    </vt:vector>
  </HeadingPairs>
  <TitlesOfParts>
    <vt:vector size="3" baseType="lpstr">
      <vt:lpstr>Intro</vt:lpstr>
      <vt:lpstr>données</vt:lpstr>
      <vt:lpstr>SAV DONNEES</vt:lpstr>
    </vt:vector>
  </TitlesOfParts>
  <Company>DAUPHINE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PELTRAULT</dc:creator>
  <cp:lastModifiedBy>A Masson</cp:lastModifiedBy>
  <dcterms:created xsi:type="dcterms:W3CDTF">2008-11-13T15:20:07Z</dcterms:created>
  <dcterms:modified xsi:type="dcterms:W3CDTF">2015-12-18T14:42:11Z</dcterms:modified>
</cp:coreProperties>
</file>