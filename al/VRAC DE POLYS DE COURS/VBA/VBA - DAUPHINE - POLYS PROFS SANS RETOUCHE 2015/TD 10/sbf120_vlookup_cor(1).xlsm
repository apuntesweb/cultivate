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5600" windowHeight="8010" activeTab="5"/>
  </bookViews>
  <sheets>
    <sheet name="Data" sheetId="1" r:id="rId1"/>
    <sheet name="RechercheV" sheetId="5" r:id="rId2"/>
    <sheet name="Vlookup" sheetId="6" r:id="rId3"/>
    <sheet name="Data (2)" sheetId="8" r:id="rId4"/>
    <sheet name="Index_Equiv" sheetId="7" r:id="rId5"/>
    <sheet name="Index_match" sheetId="9" r:id="rId6"/>
  </sheets>
  <definedNames>
    <definedName name="_xlnm._FilterDatabase" localSheetId="0" hidden="1">Data!$A$4:$H$124</definedName>
    <definedName name="_xlnm._FilterDatabase" localSheetId="3" hidden="1">'Data (2)'!$A$4:$G$124</definedName>
    <definedName name="données">'Data (2)'!$A$5:$H$124</definedName>
    <definedName name="Titres">'Data (2)'!$H$5:$H$124</definedName>
  </definedNames>
  <calcPr calcId="145621"/>
</workbook>
</file>

<file path=xl/calcChain.xml><?xml version="1.0" encoding="utf-8"?>
<calcChain xmlns="http://schemas.openxmlformats.org/spreadsheetml/2006/main">
  <c r="C4" i="7" l="1"/>
  <c r="C5" i="7"/>
  <c r="C6" i="7"/>
  <c r="C7" i="7"/>
  <c r="C8" i="7"/>
  <c r="C3" i="7"/>
  <c r="B3" i="7"/>
  <c r="B4" i="7"/>
  <c r="B5" i="7"/>
  <c r="B6" i="7"/>
  <c r="B7" i="7"/>
  <c r="B8" i="7"/>
  <c r="C4" i="5"/>
  <c r="C5" i="5"/>
  <c r="C6" i="5"/>
  <c r="C7" i="5"/>
  <c r="C8" i="5"/>
  <c r="C3" i="5"/>
  <c r="B3" i="5"/>
  <c r="B4" i="5"/>
  <c r="B5" i="5"/>
  <c r="B6" i="5"/>
  <c r="B7" i="5"/>
  <c r="B8" i="5"/>
</calcChain>
</file>

<file path=xl/sharedStrings.xml><?xml version="1.0" encoding="utf-8"?>
<sst xmlns="http://schemas.openxmlformats.org/spreadsheetml/2006/main" count="296" uniqueCount="130">
  <si>
    <t>L'OREAL</t>
  </si>
  <si>
    <t>VICAT</t>
  </si>
  <si>
    <t>ALTEN</t>
  </si>
  <si>
    <t>SODEXO</t>
  </si>
  <si>
    <t>AIR LIQUIDE</t>
  </si>
  <si>
    <t>VIVENDI</t>
  </si>
  <si>
    <t>EURAZEO</t>
  </si>
  <si>
    <t>BOUYGUES</t>
  </si>
  <si>
    <t>TOTAL</t>
  </si>
  <si>
    <t>NEXITY</t>
  </si>
  <si>
    <t>SAFRAN</t>
  </si>
  <si>
    <t>PEUGEOT</t>
  </si>
  <si>
    <t>ALSTOM</t>
  </si>
  <si>
    <t>SCHNEIDER ELECTRIC</t>
  </si>
  <si>
    <t>CNP ASSURANCES</t>
  </si>
  <si>
    <t>HERMES INTERNATIONAL</t>
  </si>
  <si>
    <t>SAFT</t>
  </si>
  <si>
    <t>ZODIAC AEROSPACE</t>
  </si>
  <si>
    <t>DANONE</t>
  </si>
  <si>
    <t>RUBIS</t>
  </si>
  <si>
    <t>EUROFINS SCIENTIFIC</t>
  </si>
  <si>
    <t>KLEPIERRE</t>
  </si>
  <si>
    <t>IMERYS</t>
  </si>
  <si>
    <t>STMICROELECTRONICS</t>
  </si>
  <si>
    <t>SANOFI</t>
  </si>
  <si>
    <t>LVMH</t>
  </si>
  <si>
    <t>BNP PARIBAS</t>
  </si>
  <si>
    <t>GDF SUEZ</t>
  </si>
  <si>
    <t>AXA</t>
  </si>
  <si>
    <t>EDF</t>
  </si>
  <si>
    <t>AIRBUS GROUP (EX-EADS)</t>
  </si>
  <si>
    <t>ORANGE (EX-FRANCE TELECOM)</t>
  </si>
  <si>
    <t>SOCIETE GENERALE</t>
  </si>
  <si>
    <t>CREDIT AGRICOLE</t>
  </si>
  <si>
    <t>VINCI</t>
  </si>
  <si>
    <t>PERNOD RICARD</t>
  </si>
  <si>
    <t>SAINT-GOBAIN</t>
  </si>
  <si>
    <t>KERING (EX-PPR)</t>
  </si>
  <si>
    <t>UNIBAIL-RODAMCO</t>
  </si>
  <si>
    <t>RENAULT</t>
  </si>
  <si>
    <t>ESSILOR INTERNATIONAL</t>
  </si>
  <si>
    <t>CARREFOUR</t>
  </si>
  <si>
    <t>NATIXIS</t>
  </si>
  <si>
    <t>ARCELORMITTAL</t>
  </si>
  <si>
    <t>LAFARGE</t>
  </si>
  <si>
    <t>MICHELIN</t>
  </si>
  <si>
    <t>DASSAULT SYSTEMES</t>
  </si>
  <si>
    <t>NUMERICABLE</t>
  </si>
  <si>
    <t>PUBLICIS</t>
  </si>
  <si>
    <t>ILIAD</t>
  </si>
  <si>
    <t>LEGRAND</t>
  </si>
  <si>
    <t>BOLLORE</t>
  </si>
  <si>
    <t>SES</t>
  </si>
  <si>
    <t>AEROPORTS DE PARIS</t>
  </si>
  <si>
    <t>SOLVAY</t>
  </si>
  <si>
    <t>CAPGEMINI</t>
  </si>
  <si>
    <t>THALES</t>
  </si>
  <si>
    <t>CASINO GUICHARD PERRACHON</t>
  </si>
  <si>
    <t>BUREAU VERITAS</t>
  </si>
  <si>
    <t>ACCOR</t>
  </si>
  <si>
    <t>VEOLIA ENVIRONNEMENT</t>
  </si>
  <si>
    <t>ALCATEL-LUCENT</t>
  </si>
  <si>
    <t>VALEO</t>
  </si>
  <si>
    <t>SUEZ ENVIRONNEMENT</t>
  </si>
  <si>
    <t>GECINA</t>
  </si>
  <si>
    <t>TECHNIP</t>
  </si>
  <si>
    <t>GEMALTO</t>
  </si>
  <si>
    <t>JCDECAUX</t>
  </si>
  <si>
    <t>EUTELSAT</t>
  </si>
  <si>
    <t>ATOS (EX-ATOS ORIGIN)</t>
  </si>
  <si>
    <t>GROUPE EUROTUNNEL</t>
  </si>
  <si>
    <t>EDENRED</t>
  </si>
  <si>
    <t>BIC</t>
  </si>
  <si>
    <t>SCOR SE</t>
  </si>
  <si>
    <t>INGENICO</t>
  </si>
  <si>
    <t>FONCIERE DES REGIONS</t>
  </si>
  <si>
    <t>ICADE</t>
  </si>
  <si>
    <t>WENDEL</t>
  </si>
  <si>
    <t>REXEL</t>
  </si>
  <si>
    <t>VALLOUREC</t>
  </si>
  <si>
    <t>AREVA</t>
  </si>
  <si>
    <t>EIFFAGE</t>
  </si>
  <si>
    <t>FAURECIA</t>
  </si>
  <si>
    <t>EULER HERMES GROUP</t>
  </si>
  <si>
    <t>IPSEN</t>
  </si>
  <si>
    <t>BIOMERIEUX</t>
  </si>
  <si>
    <t>ARKEMA</t>
  </si>
  <si>
    <t>SEB</t>
  </si>
  <si>
    <t>TELEPERFORMANCE (EX - SR TELEPERFORMANCE)</t>
  </si>
  <si>
    <t>PLASTIC OMNIUM</t>
  </si>
  <si>
    <t>LAGARDERE</t>
  </si>
  <si>
    <t>REMY COINTREAU</t>
  </si>
  <si>
    <t>HAVAS</t>
  </si>
  <si>
    <t>ORPEA</t>
  </si>
  <si>
    <t>TF1</t>
  </si>
  <si>
    <t>KORIAN-MEDICA</t>
  </si>
  <si>
    <t>SARTORIUS STEDIM BIOTECH (EX-STEDIM)</t>
  </si>
  <si>
    <t>AIR FRANCE KLM</t>
  </si>
  <si>
    <t>ERAMET</t>
  </si>
  <si>
    <t>APERAM</t>
  </si>
  <si>
    <t>NEOPOST</t>
  </si>
  <si>
    <t>M6 METROPOLE TELEVISION</t>
  </si>
  <si>
    <t>MERCIALYS</t>
  </si>
  <si>
    <t>TECHNICOLOR</t>
  </si>
  <si>
    <t>VILMORIN ET CIE</t>
  </si>
  <si>
    <t>GTT</t>
  </si>
  <si>
    <t>VIRBAC</t>
  </si>
  <si>
    <t>UBISOFT</t>
  </si>
  <si>
    <t>CGG (EX-CGGVERITAS)</t>
  </si>
  <si>
    <t>TARKETT</t>
  </si>
  <si>
    <t>ALTRAN TECHNOLOGIES</t>
  </si>
  <si>
    <t>SOPRA STERIA GROUP</t>
  </si>
  <si>
    <t>NEXANS</t>
  </si>
  <si>
    <t>IPSOS</t>
  </si>
  <si>
    <t>MAUREL &amp; PROM</t>
  </si>
  <si>
    <t>GENFIT</t>
  </si>
  <si>
    <t>MONTUPET</t>
  </si>
  <si>
    <t>SOLOCAL GROUP (EX-PAGESJAUNES)</t>
  </si>
  <si>
    <t>SOITEC</t>
  </si>
  <si>
    <t>GAMELOFT</t>
  </si>
  <si>
    <t>Titre</t>
  </si>
  <si>
    <t xml:space="preserve">Composition de l'indice SBF 120 </t>
  </si>
  <si>
    <t>Cours et rendements des titres le 26/11/2014</t>
  </si>
  <si>
    <t>Pondération</t>
  </si>
  <si>
    <t>Contribution</t>
  </si>
  <si>
    <t>Cours
25/11</t>
  </si>
  <si>
    <t>Cours
26/11</t>
  </si>
  <si>
    <t>Capitalisation au 25/11
(en milliards d'euros</t>
  </si>
  <si>
    <t>Capitalisation au 26/11
(en milliards d'euros</t>
  </si>
  <si>
    <t>Rendements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</si>
</sst>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3" borderId="0" xfId="0" applyFill="1"/>
    <xf numFmtId="8" fontId="0" fillId="3" borderId="0" xfId="0" applyNumberFormat="1" applyFill="1" applyAlignment="1">
      <alignment horizontal="center" vertical="center" wrapText="1"/>
    </xf>
    <xf numFmtId="10" fontId="2" fillId="3" borderId="0" xfId="0" applyNumberFormat="1" applyFont="1" applyFill="1" applyAlignment="1">
      <alignment horizontal="center" vertical="center" wrapText="1"/>
    </xf>
    <xf numFmtId="2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 vertical="center" wrapText="1"/>
    </xf>
    <xf numFmtId="0" fontId="0" fillId="3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2" fontId="2" fillId="3" borderId="0" xfId="0" applyNumberFormat="1" applyFont="1" applyFill="1" applyAlignment="1">
      <alignment horizontal="center" vertical="center" wrapText="1"/>
    </xf>
    <xf numFmtId="164" fontId="0" fillId="0" borderId="0" xfId="1" applyNumberFormat="1" applyFont="1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3" borderId="0" xfId="1" applyNumberFormat="1" applyFont="1" applyFill="1" applyAlignment="1">
      <alignment horizontal="center"/>
    </xf>
    <xf numFmtId="0" fontId="0" fillId="3" borderId="0" xfId="0" applyNumberFormat="1" applyFill="1" applyAlignment="1">
      <alignment horizontal="center" vertical="center" wrapText="1"/>
    </xf>
    <xf numFmtId="10" fontId="2" fillId="3" borderId="0" xfId="1" applyNumberFormat="1" applyFont="1" applyFill="1" applyAlignment="1">
      <alignment horizontal="center" vertical="center" wrapText="1"/>
    </xf>
    <xf numFmtId="10" fontId="0" fillId="0" borderId="0" xfId="1" applyNumberFormat="1" applyFont="1"/>
    <xf numFmtId="164" fontId="0" fillId="0" borderId="0" xfId="1" applyNumberFormat="1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124"/>
  <sheetViews>
    <sheetView topLeftCell="B4" workbookViewId="0">
      <selection activeCell="D19" sqref="D19"/>
    </sheetView>
  </sheetViews>
  <sheetFormatPr baseColWidth="10" defaultRowHeight="15" x14ac:dyDescent="0.25"/>
  <cols>
    <col min="1" max="1" width="32.5703125" customWidth="1"/>
    <col min="2" max="2" width="10.5703125" bestFit="1" customWidth="1"/>
    <col min="3" max="3" width="14.85546875" bestFit="1" customWidth="1"/>
    <col min="4" max="4" width="20.5703125" style="2" customWidth="1"/>
    <col min="5" max="5" width="22" style="2" customWidth="1"/>
    <col min="6" max="6" width="20.7109375" customWidth="1"/>
    <col min="7" max="7" width="12.85546875" customWidth="1"/>
    <col min="8" max="8" width="15" customWidth="1"/>
  </cols>
  <sheetData>
    <row r="1" spans="1:10" ht="23.45" x14ac:dyDescent="0.35">
      <c r="A1" s="1" t="s">
        <v>121</v>
      </c>
      <c r="E1" s="14"/>
      <c r="I1" s="11"/>
    </row>
    <row r="2" spans="1:10" ht="23.45" x14ac:dyDescent="0.35">
      <c r="A2" s="1" t="s">
        <v>122</v>
      </c>
    </row>
    <row r="4" spans="1:10" ht="45" x14ac:dyDescent="0.25">
      <c r="A4" s="3" t="s">
        <v>120</v>
      </c>
      <c r="B4" s="4" t="s">
        <v>125</v>
      </c>
      <c r="C4" s="4" t="s">
        <v>126</v>
      </c>
      <c r="D4" s="4" t="s">
        <v>129</v>
      </c>
      <c r="E4" s="4" t="s">
        <v>127</v>
      </c>
      <c r="F4" s="4" t="s">
        <v>128</v>
      </c>
      <c r="G4" s="4" t="s">
        <v>123</v>
      </c>
      <c r="H4" s="4" t="s">
        <v>124</v>
      </c>
      <c r="I4" s="12"/>
    </row>
    <row r="5" spans="1:10" x14ac:dyDescent="0.25">
      <c r="A5" s="5" t="s">
        <v>59</v>
      </c>
      <c r="B5" s="8">
        <v>36.670651524208012</v>
      </c>
      <c r="C5" s="6">
        <v>36.81</v>
      </c>
      <c r="D5" s="7">
        <v>3.8000000000000256E-3</v>
      </c>
      <c r="E5" s="13">
        <v>8.4379358437935856</v>
      </c>
      <c r="F5" s="8">
        <v>8.4700000000000006</v>
      </c>
      <c r="G5" s="15">
        <v>5.4732467769876081E-3</v>
      </c>
      <c r="H5" s="16">
        <v>2.0798337752553051E-5</v>
      </c>
      <c r="J5" s="11"/>
    </row>
    <row r="6" spans="1:10" x14ac:dyDescent="0.25">
      <c r="A6" s="5" t="s">
        <v>53</v>
      </c>
      <c r="B6" s="8">
        <v>100</v>
      </c>
      <c r="C6" s="6">
        <v>98.9</v>
      </c>
      <c r="D6" s="7">
        <v>-1.0999999999999899E-2</v>
      </c>
      <c r="E6" s="13">
        <v>9.8988877654196141</v>
      </c>
      <c r="F6" s="10">
        <v>9.7899999999999991</v>
      </c>
      <c r="G6" s="15">
        <v>6.4208897247892286E-3</v>
      </c>
      <c r="H6" s="16">
        <v>-7.062978697268086E-5</v>
      </c>
      <c r="J6" s="11"/>
    </row>
    <row r="7" spans="1:10" x14ac:dyDescent="0.25">
      <c r="A7" s="5" t="s">
        <v>97</v>
      </c>
      <c r="B7" s="8">
        <v>7.6277116864940515</v>
      </c>
      <c r="C7" s="6">
        <v>7.63</v>
      </c>
      <c r="D7" s="7">
        <v>2.9999999999996696E-4</v>
      </c>
      <c r="E7" s="13">
        <v>2.2893132060381887</v>
      </c>
      <c r="F7" s="10">
        <v>2.29</v>
      </c>
      <c r="G7" s="15">
        <v>1.4849575012685057E-3</v>
      </c>
      <c r="H7" s="16">
        <v>4.4548725038050264E-7</v>
      </c>
      <c r="J7" s="11"/>
    </row>
    <row r="8" spans="1:10" x14ac:dyDescent="0.25">
      <c r="A8" s="5" t="s">
        <v>4</v>
      </c>
      <c r="B8" s="8">
        <v>100.45045045045045</v>
      </c>
      <c r="C8" s="6">
        <v>100.35</v>
      </c>
      <c r="D8" s="7">
        <v>-1.0000000000000009E-3</v>
      </c>
      <c r="E8" s="13">
        <v>34.62462462462463</v>
      </c>
      <c r="F8" s="8">
        <v>34.590000000000003</v>
      </c>
      <c r="G8" s="15">
        <v>2.2459179429590411E-2</v>
      </c>
      <c r="H8" s="16">
        <v>-2.2459179429590431E-5</v>
      </c>
      <c r="J8" s="11"/>
    </row>
    <row r="9" spans="1:10" x14ac:dyDescent="0.25">
      <c r="A9" s="5" t="s">
        <v>30</v>
      </c>
      <c r="B9" s="8">
        <v>49.578397912065853</v>
      </c>
      <c r="C9" s="6">
        <v>49.39</v>
      </c>
      <c r="D9" s="7">
        <v>-3.8000000000000256E-3</v>
      </c>
      <c r="E9" s="13">
        <v>38.897811684400722</v>
      </c>
      <c r="F9" s="8">
        <v>38.75</v>
      </c>
      <c r="G9" s="15">
        <v>2.5230971931377154E-2</v>
      </c>
      <c r="H9" s="16">
        <v>-9.5877693339233835E-5</v>
      </c>
      <c r="J9" s="11"/>
    </row>
    <row r="10" spans="1:10" x14ac:dyDescent="0.25">
      <c r="A10" s="5" t="s">
        <v>61</v>
      </c>
      <c r="B10" s="8">
        <v>2.7758970886932972</v>
      </c>
      <c r="C10" s="6">
        <v>2.87</v>
      </c>
      <c r="D10" s="7">
        <v>3.3900000000000041E-2</v>
      </c>
      <c r="E10" s="13">
        <v>7.7957249250411067</v>
      </c>
      <c r="F10" s="8">
        <v>8.06</v>
      </c>
      <c r="G10" s="15">
        <v>5.0566782101865637E-3</v>
      </c>
      <c r="H10" s="16">
        <v>1.7142139132532471E-4</v>
      </c>
      <c r="J10" s="11"/>
    </row>
    <row r="11" spans="1:10" x14ac:dyDescent="0.25">
      <c r="A11" s="5" t="s">
        <v>12</v>
      </c>
      <c r="B11" s="8">
        <v>28.235530546623796</v>
      </c>
      <c r="C11" s="6">
        <v>28.1</v>
      </c>
      <c r="D11" s="7">
        <v>-4.8000000000000265E-3</v>
      </c>
      <c r="E11" s="13">
        <v>8.7319131832797421</v>
      </c>
      <c r="F11" s="8">
        <v>8.69</v>
      </c>
      <c r="G11" s="15">
        <v>5.6639344707123101E-3</v>
      </c>
      <c r="H11" s="16">
        <v>-2.7186885459419237E-5</v>
      </c>
      <c r="J11" s="11"/>
    </row>
    <row r="12" spans="1:10" x14ac:dyDescent="0.25">
      <c r="A12" s="5" t="s">
        <v>2</v>
      </c>
      <c r="B12" s="8">
        <v>35.60421735604217</v>
      </c>
      <c r="C12" s="6">
        <v>35.119999999999997</v>
      </c>
      <c r="D12" s="7">
        <v>-1.3599999999999945E-2</v>
      </c>
      <c r="E12" s="13">
        <v>1.1962692619626925</v>
      </c>
      <c r="F12" s="8">
        <v>1.18</v>
      </c>
      <c r="G12" s="15">
        <v>7.759571776387187E-4</v>
      </c>
      <c r="H12" s="16">
        <v>-1.0553017615886531E-5</v>
      </c>
      <c r="J12" s="11"/>
    </row>
    <row r="13" spans="1:10" x14ac:dyDescent="0.25">
      <c r="A13" s="5" t="s">
        <v>110</v>
      </c>
      <c r="B13" s="8">
        <v>7.5637818909454717</v>
      </c>
      <c r="C13" s="6">
        <v>7.56</v>
      </c>
      <c r="D13" s="7">
        <v>-4.9999999999994493E-4</v>
      </c>
      <c r="E13" s="13">
        <v>1.3206603301650826</v>
      </c>
      <c r="F13" s="8">
        <v>1.32</v>
      </c>
      <c r="G13" s="15">
        <v>8.5664314464871296E-4</v>
      </c>
      <c r="H13" s="16">
        <v>-4.2832157232430933E-7</v>
      </c>
      <c r="J13" s="11"/>
    </row>
    <row r="14" spans="1:10" x14ac:dyDescent="0.25">
      <c r="A14" s="5" t="s">
        <v>99</v>
      </c>
      <c r="B14" s="8">
        <v>25.500400320256205</v>
      </c>
      <c r="C14" s="6">
        <v>25.48</v>
      </c>
      <c r="D14" s="7">
        <v>-8.0000000000002292E-4</v>
      </c>
      <c r="E14" s="13">
        <v>1.9915932746196958</v>
      </c>
      <c r="F14" s="9">
        <v>1.99</v>
      </c>
      <c r="G14" s="15">
        <v>1.2918421842944153E-3</v>
      </c>
      <c r="H14" s="16">
        <v>-1.0334737474355618E-6</v>
      </c>
      <c r="J14" s="11"/>
    </row>
    <row r="15" spans="1:10" x14ac:dyDescent="0.25">
      <c r="A15" s="5" t="s">
        <v>43</v>
      </c>
      <c r="B15" s="8">
        <v>9.9761999206664029</v>
      </c>
      <c r="C15" s="6">
        <v>10.06</v>
      </c>
      <c r="D15" s="7">
        <v>8.3999999999999631E-3</v>
      </c>
      <c r="E15" s="13">
        <v>16.610472034906785</v>
      </c>
      <c r="F15" s="8">
        <v>16.75</v>
      </c>
      <c r="G15" s="15">
        <v>1.0774342708017434E-2</v>
      </c>
      <c r="H15" s="16">
        <v>9.0504478747346047E-5</v>
      </c>
      <c r="J15" s="11"/>
    </row>
    <row r="16" spans="1:10" x14ac:dyDescent="0.25">
      <c r="A16" s="5" t="s">
        <v>80</v>
      </c>
      <c r="B16" s="8">
        <v>9.8003629764065341</v>
      </c>
      <c r="C16" s="6">
        <v>9.7200000000000006</v>
      </c>
      <c r="D16" s="7">
        <v>-8.1999999999999851E-3</v>
      </c>
      <c r="E16" s="13">
        <v>3.7507562008469453</v>
      </c>
      <c r="F16" s="8">
        <v>3.72</v>
      </c>
      <c r="G16" s="15">
        <v>2.4329189825082081E-3</v>
      </c>
      <c r="H16" s="16">
        <v>-1.9949935656567271E-5</v>
      </c>
      <c r="J16" s="11"/>
    </row>
    <row r="17" spans="1:10" x14ac:dyDescent="0.25">
      <c r="A17" s="5" t="s">
        <v>86</v>
      </c>
      <c r="B17" s="8">
        <v>51.009120900446341</v>
      </c>
      <c r="C17" s="6">
        <v>52.57</v>
      </c>
      <c r="D17" s="7">
        <v>3.0599999999999961E-2</v>
      </c>
      <c r="E17" s="13">
        <v>3.2505336697069671</v>
      </c>
      <c r="F17" s="8">
        <v>3.35</v>
      </c>
      <c r="G17" s="15">
        <v>2.1084508415999963E-3</v>
      </c>
      <c r="H17" s="16">
        <v>6.4518595752959803E-5</v>
      </c>
      <c r="J17" s="11"/>
    </row>
    <row r="18" spans="1:10" x14ac:dyDescent="0.25">
      <c r="A18" s="5" t="s">
        <v>69</v>
      </c>
      <c r="B18" s="8">
        <v>57.371440072456473</v>
      </c>
      <c r="C18" s="6">
        <v>57.01</v>
      </c>
      <c r="D18" s="7">
        <v>-6.2999999999999723E-3</v>
      </c>
      <c r="E18" s="13">
        <v>5.796518063801952</v>
      </c>
      <c r="F18" s="8">
        <v>5.76</v>
      </c>
      <c r="G18" s="15">
        <v>3.759897491255514E-3</v>
      </c>
      <c r="H18" s="16">
        <v>-2.3687354194909634E-5</v>
      </c>
      <c r="J18" s="11"/>
    </row>
    <row r="19" spans="1:10" x14ac:dyDescent="0.25">
      <c r="A19" s="5" t="s">
        <v>28</v>
      </c>
      <c r="B19" s="8">
        <v>19.124102154828414</v>
      </c>
      <c r="C19" s="6">
        <v>19.170000000000002</v>
      </c>
      <c r="D19" s="7">
        <v>2.3999999999999577E-3</v>
      </c>
      <c r="E19" s="13">
        <v>46.318834796488431</v>
      </c>
      <c r="F19" s="8">
        <v>46.43</v>
      </c>
      <c r="G19" s="15">
        <v>3.0044600712408949E-2</v>
      </c>
      <c r="H19" s="16">
        <v>7.2107041709780208E-5</v>
      </c>
      <c r="J19" s="11"/>
    </row>
    <row r="20" spans="1:10" x14ac:dyDescent="0.25">
      <c r="A20" s="5" t="s">
        <v>72</v>
      </c>
      <c r="B20" s="8">
        <v>105.00196540880502</v>
      </c>
      <c r="C20" s="6">
        <v>106.85</v>
      </c>
      <c r="D20" s="7">
        <v>1.760000000000006E-2</v>
      </c>
      <c r="E20" s="13">
        <v>5.0019654088050309</v>
      </c>
      <c r="F20" s="8">
        <v>5.09</v>
      </c>
      <c r="G20" s="15">
        <v>3.244512823889557E-3</v>
      </c>
      <c r="H20" s="16">
        <v>5.7103425700456397E-5</v>
      </c>
      <c r="J20" s="11"/>
    </row>
    <row r="21" spans="1:10" x14ac:dyDescent="0.25">
      <c r="A21" s="5" t="s">
        <v>85</v>
      </c>
      <c r="B21" s="8">
        <v>86.196443007275661</v>
      </c>
      <c r="C21" s="6">
        <v>85.3</v>
      </c>
      <c r="D21" s="7">
        <v>-1.0399999999999965E-2</v>
      </c>
      <c r="E21" s="13">
        <v>3.4054163298302345</v>
      </c>
      <c r="F21" s="8">
        <v>3.37</v>
      </c>
      <c r="G21" s="15">
        <v>2.2089151063235143E-3</v>
      </c>
      <c r="H21" s="16">
        <v>-2.2972717105764472E-5</v>
      </c>
      <c r="J21" s="11"/>
    </row>
    <row r="22" spans="1:10" x14ac:dyDescent="0.25">
      <c r="A22" s="5" t="s">
        <v>26</v>
      </c>
      <c r="B22" s="8">
        <v>51.119628807746622</v>
      </c>
      <c r="C22" s="6">
        <v>50.68</v>
      </c>
      <c r="D22" s="7">
        <v>-8.600000000000052E-3</v>
      </c>
      <c r="E22" s="13">
        <v>63.707887835384305</v>
      </c>
      <c r="F22" s="8">
        <v>63.16</v>
      </c>
      <c r="G22" s="15">
        <v>4.1323968114806042E-2</v>
      </c>
      <c r="H22" s="16">
        <v>-3.5538612578733412E-4</v>
      </c>
      <c r="J22" s="11"/>
    </row>
    <row r="23" spans="1:10" x14ac:dyDescent="0.25">
      <c r="A23" s="5" t="s">
        <v>51</v>
      </c>
      <c r="B23" s="8">
        <v>391.7057590577902</v>
      </c>
      <c r="C23" s="6">
        <v>392.45</v>
      </c>
      <c r="D23" s="7">
        <v>1.9000000000000128E-3</v>
      </c>
      <c r="E23" s="13">
        <v>10.739594769937119</v>
      </c>
      <c r="F23" s="8">
        <v>10.76</v>
      </c>
      <c r="G23" s="15">
        <v>6.9662122998892561E-3</v>
      </c>
      <c r="H23" s="16">
        <v>1.3235803369789676E-5</v>
      </c>
      <c r="J23" s="11"/>
    </row>
    <row r="24" spans="1:10" x14ac:dyDescent="0.25">
      <c r="A24" s="5" t="s">
        <v>7</v>
      </c>
      <c r="B24" s="8">
        <v>29.924585218702866</v>
      </c>
      <c r="C24" s="6">
        <v>29.76</v>
      </c>
      <c r="D24" s="7">
        <v>-5.4999999999999494E-3</v>
      </c>
      <c r="E24" s="13">
        <v>10.04524886877828</v>
      </c>
      <c r="F24" s="8">
        <v>9.99</v>
      </c>
      <c r="G24" s="15">
        <v>6.515826502226733E-3</v>
      </c>
      <c r="H24" s="16">
        <v>-3.5837045762246703E-5</v>
      </c>
      <c r="J24" s="11"/>
    </row>
    <row r="25" spans="1:10" x14ac:dyDescent="0.25">
      <c r="A25" s="5" t="s">
        <v>58</v>
      </c>
      <c r="B25" s="8">
        <v>19.269596199524941</v>
      </c>
      <c r="C25" s="6">
        <v>19.47</v>
      </c>
      <c r="D25" s="7">
        <v>1.0399999999999965E-2</v>
      </c>
      <c r="E25" s="13">
        <v>8.5114806017418836</v>
      </c>
      <c r="F25" s="8">
        <v>8.6</v>
      </c>
      <c r="G25" s="15">
        <v>5.5209514072261665E-3</v>
      </c>
      <c r="H25" s="16">
        <v>5.741789463515194E-5</v>
      </c>
      <c r="J25" s="11"/>
    </row>
    <row r="26" spans="1:10" x14ac:dyDescent="0.25">
      <c r="A26" s="5" t="s">
        <v>55</v>
      </c>
      <c r="B26" s="8">
        <v>58.500895878956804</v>
      </c>
      <c r="C26" s="6">
        <v>58.77</v>
      </c>
      <c r="D26" s="7">
        <v>4.5999999999999375E-3</v>
      </c>
      <c r="E26" s="13">
        <v>9.2773243081823615</v>
      </c>
      <c r="F26" s="8">
        <v>9.32</v>
      </c>
      <c r="G26" s="15">
        <v>6.0177140842065449E-3</v>
      </c>
      <c r="H26" s="16">
        <v>2.7681484787349731E-5</v>
      </c>
      <c r="J26" s="11"/>
    </row>
    <row r="27" spans="1:10" x14ac:dyDescent="0.25">
      <c r="A27" s="5" t="s">
        <v>41</v>
      </c>
      <c r="B27" s="8">
        <v>25.526157546602523</v>
      </c>
      <c r="C27" s="6">
        <v>25.47</v>
      </c>
      <c r="D27" s="7">
        <v>-2.1999999999999797E-3</v>
      </c>
      <c r="E27" s="13">
        <v>18.761274804570053</v>
      </c>
      <c r="F27" s="8">
        <v>18.72</v>
      </c>
      <c r="G27" s="15">
        <v>1.2169455748092769E-2</v>
      </c>
      <c r="H27" s="16">
        <v>-2.6772802645803846E-5</v>
      </c>
      <c r="J27" s="11"/>
    </row>
    <row r="28" spans="1:10" x14ac:dyDescent="0.25">
      <c r="A28" s="5" t="s">
        <v>57</v>
      </c>
      <c r="B28" s="8">
        <v>80.998970133882608</v>
      </c>
      <c r="C28" s="6">
        <v>78.650000000000006</v>
      </c>
      <c r="D28" s="7">
        <v>-2.9000000000000137E-2</v>
      </c>
      <c r="E28" s="13">
        <v>9.1658084449021633</v>
      </c>
      <c r="F28" s="8">
        <v>8.8999999999999986</v>
      </c>
      <c r="G28" s="15">
        <v>5.9453795878817986E-3</v>
      </c>
      <c r="H28" s="16">
        <v>-1.7241600804857298E-4</v>
      </c>
      <c r="J28" s="11"/>
    </row>
    <row r="29" spans="1:10" x14ac:dyDescent="0.25">
      <c r="A29" s="5" t="s">
        <v>108</v>
      </c>
      <c r="B29" s="8">
        <v>7.9310002974125116</v>
      </c>
      <c r="C29" s="6">
        <v>8</v>
      </c>
      <c r="D29" s="7">
        <v>8.69999999999993E-3</v>
      </c>
      <c r="E29" s="13">
        <v>1.4077525527907206</v>
      </c>
      <c r="F29" s="8">
        <v>1.4199999999999997</v>
      </c>
      <c r="G29" s="15">
        <v>9.1313530524472818E-4</v>
      </c>
      <c r="H29" s="16">
        <v>7.9442771556290716E-6</v>
      </c>
      <c r="J29" s="11"/>
    </row>
    <row r="30" spans="1:10" x14ac:dyDescent="0.25">
      <c r="A30" s="5" t="s">
        <v>14</v>
      </c>
      <c r="B30" s="8">
        <v>14.595075645209135</v>
      </c>
      <c r="C30" s="6">
        <v>14.76</v>
      </c>
      <c r="D30" s="7">
        <v>1.1300000000000088E-2</v>
      </c>
      <c r="E30" s="13">
        <v>10.016810046474834</v>
      </c>
      <c r="F30" s="8">
        <v>10.130000000000001</v>
      </c>
      <c r="G30" s="15">
        <v>6.4973797285850319E-3</v>
      </c>
      <c r="H30" s="16">
        <v>7.3420390933011425E-5</v>
      </c>
      <c r="J30" s="11"/>
    </row>
    <row r="31" spans="1:10" x14ac:dyDescent="0.25">
      <c r="A31" s="5" t="s">
        <v>33</v>
      </c>
      <c r="B31" s="8">
        <v>11.124570967090651</v>
      </c>
      <c r="C31" s="6">
        <v>11.02</v>
      </c>
      <c r="D31" s="7">
        <v>-9.3999999999999639E-3</v>
      </c>
      <c r="E31" s="13">
        <v>28.659398344437715</v>
      </c>
      <c r="F31" s="8">
        <v>28.39</v>
      </c>
      <c r="G31" s="15">
        <v>1.8589849759817031E-2</v>
      </c>
      <c r="H31" s="16">
        <v>-1.7474458774227941E-4</v>
      </c>
      <c r="J31" s="11"/>
    </row>
    <row r="32" spans="1:10" x14ac:dyDescent="0.25">
      <c r="A32" s="5" t="s">
        <v>18</v>
      </c>
      <c r="B32" s="8">
        <v>56.132027859089533</v>
      </c>
      <c r="C32" s="6">
        <v>55.61</v>
      </c>
      <c r="D32" s="7">
        <v>-9.299999999999975E-3</v>
      </c>
      <c r="E32" s="13">
        <v>36.136065408297156</v>
      </c>
      <c r="F32" s="8">
        <v>35.799999999999997</v>
      </c>
      <c r="G32" s="15">
        <v>2.3439571856243905E-2</v>
      </c>
      <c r="H32" s="16">
        <v>-2.1798801826306772E-4</v>
      </c>
      <c r="J32" s="11"/>
    </row>
    <row r="33" spans="1:10" x14ac:dyDescent="0.25">
      <c r="A33" s="5" t="s">
        <v>46</v>
      </c>
      <c r="B33" s="8">
        <v>52.231652521218173</v>
      </c>
      <c r="C33" s="6">
        <v>52.31</v>
      </c>
      <c r="D33" s="7">
        <v>1.5000000000000568E-3</v>
      </c>
      <c r="E33" s="13">
        <v>13.359960059910135</v>
      </c>
      <c r="F33" s="8">
        <v>13.38</v>
      </c>
      <c r="G33" s="15">
        <v>8.6659059386390708E-3</v>
      </c>
      <c r="H33" s="16">
        <v>1.2998858907959099E-5</v>
      </c>
      <c r="J33" s="11"/>
    </row>
    <row r="34" spans="1:10" x14ac:dyDescent="0.25">
      <c r="A34" s="5" t="s">
        <v>71</v>
      </c>
      <c r="B34" s="8">
        <v>23.290406309274232</v>
      </c>
      <c r="C34" s="6">
        <v>23.33</v>
      </c>
      <c r="D34" s="7">
        <v>1.7000000000000348E-3</v>
      </c>
      <c r="E34" s="13">
        <v>5.3309374064091042</v>
      </c>
      <c r="F34" s="8">
        <v>5.34</v>
      </c>
      <c r="G34" s="15">
        <v>3.4578997183786916E-3</v>
      </c>
      <c r="H34" s="16">
        <v>5.8784295212438957E-6</v>
      </c>
      <c r="J34" s="11"/>
    </row>
    <row r="35" spans="1:10" x14ac:dyDescent="0.25">
      <c r="A35" s="5" t="s">
        <v>29</v>
      </c>
      <c r="B35" s="8">
        <v>23.474131961618362</v>
      </c>
      <c r="C35" s="6">
        <v>23.73</v>
      </c>
      <c r="D35" s="7">
        <v>1.089999999999991E-2</v>
      </c>
      <c r="E35" s="13">
        <v>43.664061727173809</v>
      </c>
      <c r="F35" s="8">
        <v>44.14</v>
      </c>
      <c r="G35" s="15">
        <v>2.8322588550400478E-2</v>
      </c>
      <c r="H35" s="16">
        <v>3.0871621519936267E-4</v>
      </c>
      <c r="J35" s="11"/>
    </row>
    <row r="36" spans="1:10" x14ac:dyDescent="0.25">
      <c r="A36" s="5" t="s">
        <v>81</v>
      </c>
      <c r="B36" s="8">
        <v>40.608045859351009</v>
      </c>
      <c r="C36" s="6">
        <v>39.67</v>
      </c>
      <c r="D36" s="7">
        <v>-2.3100000000000009E-2</v>
      </c>
      <c r="E36" s="13">
        <v>3.7465451939809604</v>
      </c>
      <c r="F36" s="8">
        <v>3.66</v>
      </c>
      <c r="G36" s="15">
        <v>2.430187523039471E-3</v>
      </c>
      <c r="H36" s="16">
        <v>-5.61373317822118E-5</v>
      </c>
      <c r="J36" s="11"/>
    </row>
    <row r="37" spans="1:10" x14ac:dyDescent="0.25">
      <c r="A37" s="5" t="s">
        <v>98</v>
      </c>
      <c r="B37" s="8">
        <v>80.688355485022811</v>
      </c>
      <c r="C37" s="6">
        <v>81.349999999999994</v>
      </c>
      <c r="D37" s="7">
        <v>8.1999999999999851E-3</v>
      </c>
      <c r="E37" s="13">
        <v>2.1424320571315216</v>
      </c>
      <c r="F37" s="8">
        <v>2.16</v>
      </c>
      <c r="G37" s="15">
        <v>1.3896833975379158E-3</v>
      </c>
      <c r="H37" s="16">
        <v>1.1395403859810889E-5</v>
      </c>
      <c r="J37" s="11"/>
    </row>
    <row r="38" spans="1:10" x14ac:dyDescent="0.25">
      <c r="A38" s="5" t="s">
        <v>40</v>
      </c>
      <c r="B38" s="8">
        <v>88.800813008130078</v>
      </c>
      <c r="C38" s="6">
        <v>87.38</v>
      </c>
      <c r="D38" s="7">
        <v>-1.6000000000000014E-2</v>
      </c>
      <c r="E38" s="13">
        <v>19.105691056910569</v>
      </c>
      <c r="F38" s="8">
        <v>18.8</v>
      </c>
      <c r="G38" s="15">
        <v>1.2392860521246078E-2</v>
      </c>
      <c r="H38" s="16">
        <v>-1.9828576833993741E-4</v>
      </c>
      <c r="J38" s="11"/>
    </row>
    <row r="39" spans="1:10" x14ac:dyDescent="0.25">
      <c r="A39" s="5" t="s">
        <v>83</v>
      </c>
      <c r="B39" s="8">
        <v>79.539106145251409</v>
      </c>
      <c r="C39" s="6">
        <v>79.73</v>
      </c>
      <c r="D39" s="7">
        <v>2.3999999999999577E-3</v>
      </c>
      <c r="E39" s="13">
        <v>3.6113328012769355</v>
      </c>
      <c r="F39" s="8">
        <v>3.62</v>
      </c>
      <c r="G39" s="15">
        <v>2.342482329935826E-3</v>
      </c>
      <c r="H39" s="16">
        <v>5.6219575918458832E-6</v>
      </c>
      <c r="J39" s="11"/>
    </row>
    <row r="40" spans="1:10" x14ac:dyDescent="0.25">
      <c r="A40" s="5" t="s">
        <v>6</v>
      </c>
      <c r="B40" s="8">
        <v>55.599154844551762</v>
      </c>
      <c r="C40" s="6">
        <v>55.26</v>
      </c>
      <c r="D40" s="7">
        <v>-6.0999999999999943E-3</v>
      </c>
      <c r="E40" s="13">
        <v>3.8434450145889927</v>
      </c>
      <c r="F40" s="8">
        <v>3.82</v>
      </c>
      <c r="G40" s="15">
        <v>2.4930413584622287E-3</v>
      </c>
      <c r="H40" s="16">
        <v>-1.5207552286619582E-5</v>
      </c>
      <c r="J40" s="11"/>
    </row>
    <row r="41" spans="1:10" x14ac:dyDescent="0.25">
      <c r="A41" s="5" t="s">
        <v>20</v>
      </c>
      <c r="B41" s="8">
        <v>191.14588491631176</v>
      </c>
      <c r="C41" s="6">
        <v>193</v>
      </c>
      <c r="D41" s="7">
        <v>9.7000000000000419E-3</v>
      </c>
      <c r="E41" s="13">
        <v>2.8820441715361</v>
      </c>
      <c r="F41" s="8">
        <v>2.91</v>
      </c>
      <c r="G41" s="15">
        <v>1.8694310154773626E-3</v>
      </c>
      <c r="H41" s="16">
        <v>1.8133480850130496E-5</v>
      </c>
      <c r="J41" s="11"/>
    </row>
    <row r="42" spans="1:10" x14ac:dyDescent="0.25">
      <c r="A42" s="5" t="s">
        <v>68</v>
      </c>
      <c r="B42" s="8">
        <v>26.255209366937883</v>
      </c>
      <c r="C42" s="6">
        <v>26.46</v>
      </c>
      <c r="D42" s="7">
        <v>7.8000000000000291E-3</v>
      </c>
      <c r="E42" s="13">
        <v>5.77495534828339</v>
      </c>
      <c r="F42" s="8">
        <v>5.82</v>
      </c>
      <c r="G42" s="15">
        <v>3.745910887730687E-3</v>
      </c>
      <c r="H42" s="16">
        <v>2.9218104924299467E-5</v>
      </c>
      <c r="J42" s="11"/>
    </row>
    <row r="43" spans="1:10" x14ac:dyDescent="0.25">
      <c r="A43" s="5" t="s">
        <v>82</v>
      </c>
      <c r="B43" s="8">
        <v>29.103956942091095</v>
      </c>
      <c r="C43" s="6">
        <v>29.2</v>
      </c>
      <c r="D43" s="7">
        <v>3.3000000000000806E-3</v>
      </c>
      <c r="E43" s="13">
        <v>3.6080932921359512</v>
      </c>
      <c r="F43" s="8">
        <v>3.62</v>
      </c>
      <c r="G43" s="15">
        <v>2.3403810301282483E-3</v>
      </c>
      <c r="H43" s="16">
        <v>7.7232573994234076E-6</v>
      </c>
      <c r="J43" s="11"/>
    </row>
    <row r="44" spans="1:10" x14ac:dyDescent="0.25">
      <c r="A44" s="5" t="s">
        <v>75</v>
      </c>
      <c r="B44" s="8">
        <v>75.330132052821128</v>
      </c>
      <c r="C44" s="6">
        <v>75.3</v>
      </c>
      <c r="D44" s="7">
        <v>-4.0000000000006697E-4</v>
      </c>
      <c r="E44" s="13">
        <v>4.7218887555022002</v>
      </c>
      <c r="F44" s="8">
        <v>4.7199999999999989</v>
      </c>
      <c r="G44" s="15">
        <v>3.0628417768020491E-3</v>
      </c>
      <c r="H44" s="16">
        <v>-1.2251367107210248E-6</v>
      </c>
      <c r="J44" s="11"/>
    </row>
    <row r="45" spans="1:10" x14ac:dyDescent="0.25">
      <c r="A45" s="5" t="s">
        <v>119</v>
      </c>
      <c r="B45" s="8">
        <v>3.7898801056695794</v>
      </c>
      <c r="C45" s="6">
        <v>3.73</v>
      </c>
      <c r="D45" s="7">
        <v>-1.5800000000000036E-2</v>
      </c>
      <c r="E45" s="13">
        <v>0.32505588295061982</v>
      </c>
      <c r="F45" s="8">
        <v>0.31992000000000004</v>
      </c>
      <c r="G45" s="15">
        <v>2.1084671614432138E-4</v>
      </c>
      <c r="H45" s="16">
        <v>-3.3313781150802855E-6</v>
      </c>
      <c r="J45" s="11"/>
    </row>
    <row r="46" spans="1:10" x14ac:dyDescent="0.25">
      <c r="A46" s="5" t="s">
        <v>27</v>
      </c>
      <c r="B46" s="8">
        <v>19.290245836637592</v>
      </c>
      <c r="C46" s="6">
        <v>19.46</v>
      </c>
      <c r="D46" s="7">
        <v>8.799999999999919E-3</v>
      </c>
      <c r="E46" s="13">
        <v>46.530531324345759</v>
      </c>
      <c r="F46" s="8">
        <v>46.94</v>
      </c>
      <c r="G46" s="15">
        <v>3.0181917155700802E-2</v>
      </c>
      <c r="H46" s="16">
        <v>2.6560087097016459E-4</v>
      </c>
      <c r="J46" s="11"/>
    </row>
    <row r="47" spans="1:10" x14ac:dyDescent="0.25">
      <c r="A47" s="5" t="s">
        <v>64</v>
      </c>
      <c r="B47" s="8">
        <v>108.25412706353177</v>
      </c>
      <c r="C47" s="6">
        <v>108.2</v>
      </c>
      <c r="D47" s="7">
        <v>-4.9999999999994493E-4</v>
      </c>
      <c r="E47" s="13">
        <v>6.8234117058529264</v>
      </c>
      <c r="F47" s="8">
        <v>6.82</v>
      </c>
      <c r="G47" s="15">
        <v>4.4259895806850165E-3</v>
      </c>
      <c r="H47" s="16">
        <v>-2.2129947903422646E-6</v>
      </c>
      <c r="J47" s="11"/>
    </row>
    <row r="48" spans="1:10" x14ac:dyDescent="0.25">
      <c r="A48" s="5" t="s">
        <v>66</v>
      </c>
      <c r="B48" s="8">
        <v>67.060662303409202</v>
      </c>
      <c r="C48" s="6">
        <v>68.650000000000006</v>
      </c>
      <c r="D48" s="7">
        <v>2.3700000000000054E-2</v>
      </c>
      <c r="E48" s="13">
        <v>5.9001660642766431</v>
      </c>
      <c r="F48" s="8">
        <v>6.04</v>
      </c>
      <c r="G48" s="15">
        <v>3.8271285173075288E-3</v>
      </c>
      <c r="H48" s="16">
        <v>9.0702945860188634E-5</v>
      </c>
      <c r="J48" s="11"/>
    </row>
    <row r="49" spans="1:10" x14ac:dyDescent="0.25">
      <c r="A49" s="5" t="s">
        <v>115</v>
      </c>
      <c r="B49" s="8">
        <v>36.280275092195751</v>
      </c>
      <c r="C49" s="6">
        <v>36.4</v>
      </c>
      <c r="D49" s="7">
        <v>3.3000000000000806E-3</v>
      </c>
      <c r="E49" s="13">
        <v>0.84802152895445027</v>
      </c>
      <c r="F49" s="8">
        <v>0.85082000000000002</v>
      </c>
      <c r="G49" s="15">
        <v>5.5006712377174481E-4</v>
      </c>
      <c r="H49" s="16">
        <v>1.8152215084468021E-6</v>
      </c>
      <c r="J49" s="11"/>
    </row>
    <row r="50" spans="1:10" x14ac:dyDescent="0.25">
      <c r="A50" s="5" t="s">
        <v>70</v>
      </c>
      <c r="B50" s="8">
        <v>10.524725551415045</v>
      </c>
      <c r="C50" s="6">
        <v>10.45</v>
      </c>
      <c r="D50" s="7">
        <v>-7.0999999999998842E-3</v>
      </c>
      <c r="E50" s="13">
        <v>5.7810454224997487</v>
      </c>
      <c r="F50" s="8">
        <v>5.7400000000000011</v>
      </c>
      <c r="G50" s="15">
        <v>3.7498611997137791E-3</v>
      </c>
      <c r="H50" s="16">
        <v>-2.6624014517967396E-5</v>
      </c>
      <c r="J50" s="11"/>
    </row>
    <row r="51" spans="1:10" x14ac:dyDescent="0.25">
      <c r="A51" s="5" t="s">
        <v>105</v>
      </c>
      <c r="B51" s="8">
        <v>41.921397379912662</v>
      </c>
      <c r="C51" s="6">
        <v>42.24</v>
      </c>
      <c r="D51" s="7">
        <v>7.6000000000000512E-3</v>
      </c>
      <c r="E51" s="13">
        <v>1.5581579992060341</v>
      </c>
      <c r="F51" s="8">
        <v>1.57</v>
      </c>
      <c r="G51" s="15">
        <v>1.0106954360721621E-3</v>
      </c>
      <c r="H51" s="16">
        <v>7.6812853141484835E-6</v>
      </c>
      <c r="J51" s="11"/>
    </row>
    <row r="52" spans="1:10" x14ac:dyDescent="0.25">
      <c r="A52" s="5" t="s">
        <v>92</v>
      </c>
      <c r="B52" s="8">
        <v>6.7520256076823042</v>
      </c>
      <c r="C52" s="6">
        <v>6.75</v>
      </c>
      <c r="D52" s="7">
        <v>-2.9999999999996696E-4</v>
      </c>
      <c r="E52" s="13">
        <v>2.7908372511753528</v>
      </c>
      <c r="F52" s="8">
        <v>2.79</v>
      </c>
      <c r="G52" s="15">
        <v>1.81026986609856E-3</v>
      </c>
      <c r="H52" s="16">
        <v>-5.4308095982950815E-7</v>
      </c>
      <c r="J52" s="11"/>
    </row>
    <row r="53" spans="1:10" x14ac:dyDescent="0.25">
      <c r="A53" s="5" t="s">
        <v>15</v>
      </c>
      <c r="B53" s="8">
        <v>262.30408305880002</v>
      </c>
      <c r="C53" s="6">
        <v>262.75</v>
      </c>
      <c r="D53" s="7">
        <v>1.7000000000000348E-3</v>
      </c>
      <c r="E53" s="13">
        <v>27.692922032544672</v>
      </c>
      <c r="F53" s="8">
        <v>27.74</v>
      </c>
      <c r="G53" s="15">
        <v>1.7962947226184439E-2</v>
      </c>
      <c r="H53" s="16">
        <v>3.0537010284514169E-5</v>
      </c>
      <c r="J53" s="11"/>
    </row>
    <row r="54" spans="1:10" x14ac:dyDescent="0.25">
      <c r="A54" s="5" t="s">
        <v>76</v>
      </c>
      <c r="B54" s="8">
        <v>63.579750903977498</v>
      </c>
      <c r="C54" s="6">
        <v>63.3</v>
      </c>
      <c r="D54" s="7">
        <v>-4.3999999999999595E-3</v>
      </c>
      <c r="E54" s="13">
        <v>4.7006830052229809</v>
      </c>
      <c r="F54" s="8">
        <v>4.68</v>
      </c>
      <c r="G54" s="15">
        <v>3.0490867179205918E-3</v>
      </c>
      <c r="H54" s="16">
        <v>-1.341598155885048E-5</v>
      </c>
      <c r="J54" s="11"/>
    </row>
    <row r="55" spans="1:10" x14ac:dyDescent="0.25">
      <c r="A55" s="5" t="s">
        <v>49</v>
      </c>
      <c r="B55" s="8">
        <v>195.99120263920827</v>
      </c>
      <c r="C55" s="6">
        <v>196.05</v>
      </c>
      <c r="D55" s="7">
        <v>2.9999999999996696E-4</v>
      </c>
      <c r="E55" s="13">
        <v>11.386584024792564</v>
      </c>
      <c r="F55" s="8">
        <v>11.39</v>
      </c>
      <c r="G55" s="15">
        <v>7.3858803229031799E-3</v>
      </c>
      <c r="H55" s="16">
        <v>2.2157640968707099E-6</v>
      </c>
      <c r="J55" s="11"/>
    </row>
    <row r="56" spans="1:10" x14ac:dyDescent="0.25">
      <c r="A56" s="5" t="s">
        <v>22</v>
      </c>
      <c r="B56" s="8">
        <v>60.197861496952143</v>
      </c>
      <c r="C56" s="6">
        <v>60.24</v>
      </c>
      <c r="D56" s="7">
        <v>6.9999999999992291E-4</v>
      </c>
      <c r="E56" s="13">
        <v>4.5867892475267311</v>
      </c>
      <c r="F56" s="8">
        <v>4.59</v>
      </c>
      <c r="G56" s="15">
        <v>2.9752098061058951E-3</v>
      </c>
      <c r="H56" s="16">
        <v>2.0826468642738974E-6</v>
      </c>
      <c r="J56" s="11"/>
    </row>
    <row r="57" spans="1:10" x14ac:dyDescent="0.25">
      <c r="A57" s="5" t="s">
        <v>74</v>
      </c>
      <c r="B57" s="8">
        <v>84.817488969113512</v>
      </c>
      <c r="C57" s="6">
        <v>84.58</v>
      </c>
      <c r="D57" s="7">
        <v>-2.7999999999999137E-3</v>
      </c>
      <c r="E57" s="13">
        <v>4.7733654231849174</v>
      </c>
      <c r="F57" s="8">
        <v>4.76</v>
      </c>
      <c r="G57" s="15">
        <v>3.0962319934024428E-3</v>
      </c>
      <c r="H57" s="16">
        <v>-8.669449581526573E-6</v>
      </c>
      <c r="J57" s="11"/>
    </row>
    <row r="58" spans="1:10" x14ac:dyDescent="0.25">
      <c r="A58" s="5" t="s">
        <v>84</v>
      </c>
      <c r="B58" s="8">
        <v>42.123804730749875</v>
      </c>
      <c r="C58" s="6">
        <v>41.85</v>
      </c>
      <c r="D58" s="7">
        <v>-6.4999999999999503E-3</v>
      </c>
      <c r="E58" s="13">
        <v>3.4927025666834424</v>
      </c>
      <c r="F58" s="8">
        <v>3.47</v>
      </c>
      <c r="G58" s="15">
        <v>2.265533113781297E-3</v>
      </c>
      <c r="H58" s="16">
        <v>-1.4725965239578318E-5</v>
      </c>
      <c r="J58" s="11"/>
    </row>
    <row r="59" spans="1:10" x14ac:dyDescent="0.25">
      <c r="A59" s="5" t="s">
        <v>113</v>
      </c>
      <c r="B59" s="8">
        <v>22.81953376205788</v>
      </c>
      <c r="C59" s="6">
        <v>22.71</v>
      </c>
      <c r="D59" s="7">
        <v>-4.8000000000000265E-3</v>
      </c>
      <c r="E59" s="13">
        <v>1.034967845659164</v>
      </c>
      <c r="F59" s="8">
        <v>1.03</v>
      </c>
      <c r="G59" s="15">
        <v>6.7132940216728192E-4</v>
      </c>
      <c r="H59" s="16">
        <v>-3.2223811304029711E-6</v>
      </c>
      <c r="J59" s="11"/>
    </row>
    <row r="60" spans="1:10" x14ac:dyDescent="0.25">
      <c r="A60" s="5" t="s">
        <v>67</v>
      </c>
      <c r="B60" s="8">
        <v>26.954232482786555</v>
      </c>
      <c r="C60" s="6">
        <v>26.62</v>
      </c>
      <c r="D60" s="7">
        <v>-1.2400000000000078E-2</v>
      </c>
      <c r="E60" s="13">
        <v>6.0247063588497367</v>
      </c>
      <c r="F60" s="8">
        <v>5.9499999999999993</v>
      </c>
      <c r="G60" s="15">
        <v>3.9079112796437275E-3</v>
      </c>
      <c r="H60" s="16">
        <v>-4.8458099867582522E-5</v>
      </c>
      <c r="J60" s="11"/>
    </row>
    <row r="61" spans="1:10" x14ac:dyDescent="0.25">
      <c r="A61" s="5" t="s">
        <v>37</v>
      </c>
      <c r="B61" s="8">
        <v>162.79649192744665</v>
      </c>
      <c r="C61" s="6">
        <v>163.35</v>
      </c>
      <c r="D61" s="7">
        <v>3.4000000000000696E-3</v>
      </c>
      <c r="E61" s="13">
        <v>20.550129559497709</v>
      </c>
      <c r="F61" s="8">
        <v>20.62</v>
      </c>
      <c r="G61" s="15">
        <v>1.3329792079531964E-2</v>
      </c>
      <c r="H61" s="16">
        <v>4.532129307040961E-5</v>
      </c>
      <c r="J61" s="11"/>
    </row>
    <row r="62" spans="1:10" x14ac:dyDescent="0.25">
      <c r="A62" s="5" t="s">
        <v>21</v>
      </c>
      <c r="B62" s="8">
        <v>35.175175175175177</v>
      </c>
      <c r="C62" s="6">
        <v>35.14</v>
      </c>
      <c r="D62" s="7">
        <v>-1.0000000000000009E-3</v>
      </c>
      <c r="E62" s="13">
        <v>7.0170170170170172</v>
      </c>
      <c r="F62" s="8">
        <v>7.01</v>
      </c>
      <c r="G62" s="15">
        <v>4.5515711998100252E-3</v>
      </c>
      <c r="H62" s="16">
        <v>-4.5515711998100295E-6</v>
      </c>
      <c r="J62" s="11"/>
    </row>
    <row r="63" spans="1:10" x14ac:dyDescent="0.25">
      <c r="A63" s="5" t="s">
        <v>95</v>
      </c>
      <c r="B63" s="8">
        <v>29.349894821196035</v>
      </c>
      <c r="C63" s="6">
        <v>29.3</v>
      </c>
      <c r="D63" s="7">
        <v>-1.7000000000000348E-3</v>
      </c>
      <c r="E63" s="13">
        <v>2.3239507162175697</v>
      </c>
      <c r="F63" s="8">
        <v>2.3199999999999998</v>
      </c>
      <c r="G63" s="15">
        <v>1.5074250388821765E-3</v>
      </c>
      <c r="H63" s="16">
        <v>-2.5626225660997527E-6</v>
      </c>
      <c r="J63" s="11"/>
    </row>
    <row r="64" spans="1:10" x14ac:dyDescent="0.25">
      <c r="A64" s="5" t="s">
        <v>44</v>
      </c>
      <c r="B64" s="8">
        <v>58.489795918367349</v>
      </c>
      <c r="C64" s="6">
        <v>57.32</v>
      </c>
      <c r="D64" s="7">
        <v>-2.0000000000000018E-2</v>
      </c>
      <c r="E64" s="13">
        <v>16.80612244897959</v>
      </c>
      <c r="F64" s="8">
        <v>16.47</v>
      </c>
      <c r="G64" s="15">
        <v>1.0901250878222107E-2</v>
      </c>
      <c r="H64" s="16">
        <v>-2.1802501756444233E-4</v>
      </c>
      <c r="J64" s="11"/>
    </row>
    <row r="65" spans="1:10" x14ac:dyDescent="0.25">
      <c r="A65" s="5" t="s">
        <v>90</v>
      </c>
      <c r="B65" s="8">
        <v>22.364344958529031</v>
      </c>
      <c r="C65" s="6">
        <v>22.38</v>
      </c>
      <c r="D65" s="7">
        <v>6.9999999999992291E-4</v>
      </c>
      <c r="E65" s="13">
        <v>2.9279504346957133</v>
      </c>
      <c r="F65" s="8">
        <v>2.93</v>
      </c>
      <c r="G65" s="15">
        <v>1.8992080025904735E-3</v>
      </c>
      <c r="H65" s="16">
        <v>1.3294456018131849E-6</v>
      </c>
      <c r="J65" s="11"/>
    </row>
    <row r="66" spans="1:10" x14ac:dyDescent="0.25">
      <c r="A66" s="5" t="s">
        <v>50</v>
      </c>
      <c r="B66" s="8">
        <v>42.548880559213863</v>
      </c>
      <c r="C66" s="6">
        <v>42</v>
      </c>
      <c r="D66" s="7">
        <v>-1.2900000000000134E-2</v>
      </c>
      <c r="E66" s="13">
        <v>11.265322662344239</v>
      </c>
      <c r="F66" s="8">
        <v>11.119999999999997</v>
      </c>
      <c r="G66" s="15">
        <v>7.3072244319981085E-3</v>
      </c>
      <c r="H66" s="16">
        <v>-9.426319517277657E-5</v>
      </c>
      <c r="J66" s="11"/>
    </row>
    <row r="67" spans="1:10" x14ac:dyDescent="0.25">
      <c r="A67" s="5" t="s">
        <v>0</v>
      </c>
      <c r="B67" s="8">
        <v>134.80392156862746</v>
      </c>
      <c r="C67" s="6">
        <v>134.75</v>
      </c>
      <c r="D67" s="7">
        <v>-4.0000000000006697E-4</v>
      </c>
      <c r="E67" s="13">
        <v>75.300120048019195</v>
      </c>
      <c r="F67" s="8">
        <v>75.269999999999982</v>
      </c>
      <c r="G67" s="15">
        <v>4.8843241639807251E-2</v>
      </c>
      <c r="H67" s="16">
        <v>-1.9537296655926172E-5</v>
      </c>
      <c r="J67" s="11"/>
    </row>
    <row r="68" spans="1:10" x14ac:dyDescent="0.25">
      <c r="A68" s="5" t="s">
        <v>25</v>
      </c>
      <c r="B68" s="8">
        <v>143.79841062267377</v>
      </c>
      <c r="C68" s="6">
        <v>142.94999999999999</v>
      </c>
      <c r="D68" s="7">
        <v>-5.9000000000000163E-3</v>
      </c>
      <c r="E68" s="13">
        <v>73.00070415451161</v>
      </c>
      <c r="F68" s="8">
        <v>72.569999999999993</v>
      </c>
      <c r="G68" s="15">
        <v>4.7351731054626471E-2</v>
      </c>
      <c r="H68" s="16">
        <v>-2.7937521322229697E-4</v>
      </c>
      <c r="J68" s="11"/>
    </row>
    <row r="69" spans="1:10" x14ac:dyDescent="0.25">
      <c r="A69" s="5" t="s">
        <v>101</v>
      </c>
      <c r="B69" s="8">
        <v>15.224534501642935</v>
      </c>
      <c r="C69" s="6">
        <v>15.29</v>
      </c>
      <c r="D69" s="7">
        <v>4.2999999999999705E-3</v>
      </c>
      <c r="E69" s="13">
        <v>1.9217365329084934</v>
      </c>
      <c r="F69" s="9">
        <v>1.93</v>
      </c>
      <c r="G69" s="15">
        <v>1.2465297769118774E-3</v>
      </c>
      <c r="H69" s="16">
        <v>5.3600780407210365E-6</v>
      </c>
      <c r="J69" s="11"/>
    </row>
    <row r="70" spans="1:10" x14ac:dyDescent="0.25">
      <c r="A70" s="5" t="s">
        <v>114</v>
      </c>
      <c r="B70" s="8">
        <v>8.622974212618491</v>
      </c>
      <c r="C70" s="6">
        <v>8.4600000000000009</v>
      </c>
      <c r="D70" s="7">
        <v>-1.8900000000000028E-2</v>
      </c>
      <c r="E70" s="13">
        <v>1.0498420140658444</v>
      </c>
      <c r="F70" s="8">
        <v>1.03</v>
      </c>
      <c r="G70" s="15">
        <v>6.8097749570571696E-4</v>
      </c>
      <c r="H70" s="16">
        <v>-1.287047466883807E-5</v>
      </c>
      <c r="J70" s="11"/>
    </row>
    <row r="71" spans="1:10" x14ac:dyDescent="0.25">
      <c r="A71" s="5" t="s">
        <v>102</v>
      </c>
      <c r="B71" s="8">
        <v>18.105709098244905</v>
      </c>
      <c r="C71" s="6">
        <v>17.95</v>
      </c>
      <c r="D71" s="7">
        <v>-8.599999999999941E-3</v>
      </c>
      <c r="E71" s="13">
        <v>1.6643130925963283</v>
      </c>
      <c r="F71" s="9">
        <v>1.65</v>
      </c>
      <c r="G71" s="15">
        <v>1.0795526819099108E-3</v>
      </c>
      <c r="H71" s="16">
        <v>-9.2841530644251699E-6</v>
      </c>
      <c r="J71" s="11"/>
    </row>
    <row r="72" spans="1:10" x14ac:dyDescent="0.25">
      <c r="A72" s="5" t="s">
        <v>45</v>
      </c>
      <c r="B72" s="8">
        <v>74.697590722783161</v>
      </c>
      <c r="C72" s="6">
        <v>74.72</v>
      </c>
      <c r="D72" s="7">
        <v>2.9999999999996696E-4</v>
      </c>
      <c r="E72" s="13">
        <v>13.855843247025891</v>
      </c>
      <c r="F72" s="8">
        <v>13.86</v>
      </c>
      <c r="G72" s="15">
        <v>8.9875593744897318E-3</v>
      </c>
      <c r="H72" s="16">
        <v>2.6962678123466224E-6</v>
      </c>
      <c r="J72" s="11"/>
    </row>
    <row r="73" spans="1:10" x14ac:dyDescent="0.25">
      <c r="A73" s="5" t="s">
        <v>116</v>
      </c>
      <c r="B73" s="8">
        <v>64.50093237805477</v>
      </c>
      <c r="C73" s="6">
        <v>65.72</v>
      </c>
      <c r="D73" s="7">
        <v>1.8899999999999917E-2</v>
      </c>
      <c r="E73" s="13">
        <v>0.69549514181960936</v>
      </c>
      <c r="F73" s="8">
        <v>0.70863999999999994</v>
      </c>
      <c r="G73" s="15">
        <v>4.5113124985118533E-4</v>
      </c>
      <c r="H73" s="16">
        <v>8.5263806221873658E-6</v>
      </c>
      <c r="J73" s="11"/>
    </row>
    <row r="74" spans="1:10" x14ac:dyDescent="0.25">
      <c r="A74" s="5" t="s">
        <v>42</v>
      </c>
      <c r="B74" s="8">
        <v>5.514816675037669</v>
      </c>
      <c r="C74" s="6">
        <v>5.49</v>
      </c>
      <c r="D74" s="7">
        <v>-4.4999999999998375E-3</v>
      </c>
      <c r="E74" s="13">
        <v>17.197388247112006</v>
      </c>
      <c r="F74" s="8">
        <v>17.120000000000005</v>
      </c>
      <c r="G74" s="15">
        <v>1.1155044496497705E-2</v>
      </c>
      <c r="H74" s="16">
        <v>-5.0197700234237863E-5</v>
      </c>
      <c r="J74" s="11"/>
    </row>
    <row r="75" spans="1:10" x14ac:dyDescent="0.25">
      <c r="A75" s="5" t="s">
        <v>100</v>
      </c>
      <c r="B75" s="8">
        <v>56.41922269957039</v>
      </c>
      <c r="C75" s="6">
        <v>56.47</v>
      </c>
      <c r="D75" s="7">
        <v>8.9999999999990088E-4</v>
      </c>
      <c r="E75" s="13">
        <v>1.9482465780797285</v>
      </c>
      <c r="F75" s="9">
        <v>1.95</v>
      </c>
      <c r="G75" s="15">
        <v>1.2637254539088743E-3</v>
      </c>
      <c r="H75" s="16">
        <v>1.1373529085178615E-6</v>
      </c>
      <c r="J75" s="11"/>
    </row>
    <row r="76" spans="1:10" x14ac:dyDescent="0.25">
      <c r="A76" s="5" t="s">
        <v>112</v>
      </c>
      <c r="B76" s="8">
        <v>27.089567125473771</v>
      </c>
      <c r="C76" s="6">
        <v>27.16</v>
      </c>
      <c r="D76" s="7">
        <v>2.5999999999999357E-3</v>
      </c>
      <c r="E76" s="13">
        <v>1.1370436864153202</v>
      </c>
      <c r="F76" s="8">
        <v>1.1399999999999999</v>
      </c>
      <c r="G76" s="15">
        <v>7.3754065060168035E-4</v>
      </c>
      <c r="H76" s="16">
        <v>1.9176056915643214E-6</v>
      </c>
      <c r="J76" s="11"/>
    </row>
    <row r="77" spans="1:10" x14ac:dyDescent="0.25">
      <c r="A77" s="5" t="s">
        <v>9</v>
      </c>
      <c r="B77" s="8">
        <v>28.994677111579794</v>
      </c>
      <c r="C77" s="6">
        <v>28.87</v>
      </c>
      <c r="D77" s="7">
        <v>-4.2999999999999705E-3</v>
      </c>
      <c r="E77" s="13">
        <v>1.5667369689665562</v>
      </c>
      <c r="F77" s="8">
        <v>1.56</v>
      </c>
      <c r="G77" s="15">
        <v>1.0162601641598009E-3</v>
      </c>
      <c r="H77" s="16">
        <v>-4.3699187058871144E-6</v>
      </c>
      <c r="J77" s="11"/>
    </row>
    <row r="78" spans="1:10" x14ac:dyDescent="0.25">
      <c r="A78" s="5" t="s">
        <v>47</v>
      </c>
      <c r="B78" s="8">
        <v>33.115856069592724</v>
      </c>
      <c r="C78" s="6">
        <v>33.5</v>
      </c>
      <c r="D78" s="7">
        <v>1.1600000000000055E-2</v>
      </c>
      <c r="E78" s="13">
        <v>12.900355871886122</v>
      </c>
      <c r="F78" s="8">
        <v>13.05</v>
      </c>
      <c r="G78" s="15">
        <v>8.3677847882344131E-3</v>
      </c>
      <c r="H78" s="16">
        <v>9.7066303543519647E-5</v>
      </c>
      <c r="J78" s="11"/>
    </row>
    <row r="79" spans="1:10" x14ac:dyDescent="0.25">
      <c r="A79" s="5" t="s">
        <v>31</v>
      </c>
      <c r="B79" s="8">
        <v>13.830542871638762</v>
      </c>
      <c r="C79" s="6">
        <v>13.63</v>
      </c>
      <c r="D79" s="7">
        <v>-1.4499999999999957E-2</v>
      </c>
      <c r="E79" s="13">
        <v>36.631151699644853</v>
      </c>
      <c r="F79" s="8">
        <v>36.1</v>
      </c>
      <c r="G79" s="15">
        <v>2.3760708387572552E-2</v>
      </c>
      <c r="H79" s="16">
        <v>-3.4453027161980099E-4</v>
      </c>
      <c r="J79" s="11"/>
    </row>
    <row r="80" spans="1:10" x14ac:dyDescent="0.25">
      <c r="A80" s="5" t="s">
        <v>93</v>
      </c>
      <c r="B80" s="8">
        <v>50.467665694458418</v>
      </c>
      <c r="C80" s="6">
        <v>50.18</v>
      </c>
      <c r="D80" s="7">
        <v>-5.7000000000001494E-3</v>
      </c>
      <c r="E80" s="13">
        <v>2.805994166750478</v>
      </c>
      <c r="F80" s="8">
        <v>2.79</v>
      </c>
      <c r="G80" s="15">
        <v>1.820101362907302E-3</v>
      </c>
      <c r="H80" s="16">
        <v>-1.0374577768571893E-5</v>
      </c>
      <c r="J80" s="11"/>
    </row>
    <row r="81" spans="1:10" x14ac:dyDescent="0.25">
      <c r="A81" s="5" t="s">
        <v>35</v>
      </c>
      <c r="B81" s="8">
        <v>93.386773547094194</v>
      </c>
      <c r="C81" s="6">
        <v>93.2</v>
      </c>
      <c r="D81" s="7">
        <v>-2.0000000000000018E-3</v>
      </c>
      <c r="E81" s="13">
        <v>24.789579158316631</v>
      </c>
      <c r="F81" s="8">
        <v>24.74</v>
      </c>
      <c r="G81" s="15">
        <v>1.6079700858466821E-2</v>
      </c>
      <c r="H81" s="16">
        <v>-3.2159401716933672E-5</v>
      </c>
      <c r="J81" s="11"/>
    </row>
    <row r="82" spans="1:10" x14ac:dyDescent="0.25">
      <c r="A82" s="5" t="s">
        <v>11</v>
      </c>
      <c r="B82" s="8">
        <v>10.090180360721444</v>
      </c>
      <c r="C82" s="6">
        <v>10.07</v>
      </c>
      <c r="D82" s="7">
        <v>-2.0000000000001128E-3</v>
      </c>
      <c r="E82" s="13">
        <v>7.895791583166333</v>
      </c>
      <c r="F82" s="8">
        <v>7.879999999999999</v>
      </c>
      <c r="G82" s="15">
        <v>5.1215862071430302E-3</v>
      </c>
      <c r="H82" s="16">
        <v>-1.0243172414286637E-5</v>
      </c>
      <c r="J82" s="11"/>
    </row>
    <row r="83" spans="1:10" x14ac:dyDescent="0.25">
      <c r="A83" s="5" t="s">
        <v>89</v>
      </c>
      <c r="B83" s="8">
        <v>20.599175630843469</v>
      </c>
      <c r="C83" s="6">
        <v>20.49</v>
      </c>
      <c r="D83" s="7">
        <v>-5.2999999999999714E-3</v>
      </c>
      <c r="E83" s="13">
        <v>3.1667839549612946</v>
      </c>
      <c r="F83" s="8">
        <v>3.15</v>
      </c>
      <c r="G83" s="15">
        <v>2.0541267906957054E-3</v>
      </c>
      <c r="H83" s="16">
        <v>-1.088687199068718E-5</v>
      </c>
      <c r="J83" s="11"/>
    </row>
    <row r="84" spans="1:10" x14ac:dyDescent="0.25">
      <c r="A84" s="5" t="s">
        <v>48</v>
      </c>
      <c r="B84" s="8">
        <v>58.350972684205225</v>
      </c>
      <c r="C84" s="6">
        <v>57.89</v>
      </c>
      <c r="D84" s="7">
        <v>-7.9000000000000181E-3</v>
      </c>
      <c r="E84" s="13">
        <v>12.891845580082652</v>
      </c>
      <c r="F84" s="8">
        <v>12.79</v>
      </c>
      <c r="G84" s="15">
        <v>8.3622646079383259E-3</v>
      </c>
      <c r="H84" s="16">
        <v>-6.6061890402712922E-5</v>
      </c>
      <c r="J84" s="11"/>
    </row>
    <row r="85" spans="1:10" x14ac:dyDescent="0.25">
      <c r="A85" s="5" t="s">
        <v>91</v>
      </c>
      <c r="B85" s="8">
        <v>58.347470312344079</v>
      </c>
      <c r="C85" s="6">
        <v>58.47</v>
      </c>
      <c r="D85" s="7">
        <v>2.0999999999999908E-3</v>
      </c>
      <c r="E85" s="13">
        <v>2.8440275421614611</v>
      </c>
      <c r="F85" s="8">
        <v>2.85</v>
      </c>
      <c r="G85" s="15">
        <v>1.8447716203304179E-3</v>
      </c>
      <c r="H85" s="16">
        <v>3.8740204026938604E-6</v>
      </c>
      <c r="J85" s="11"/>
    </row>
    <row r="86" spans="1:10" x14ac:dyDescent="0.25">
      <c r="A86" s="5" t="s">
        <v>39</v>
      </c>
      <c r="B86" s="8">
        <v>64.019627478469857</v>
      </c>
      <c r="C86" s="6">
        <v>63.93</v>
      </c>
      <c r="D86" s="7">
        <v>-1.3999999999999568E-3</v>
      </c>
      <c r="E86" s="13">
        <v>18.936511115561785</v>
      </c>
      <c r="F86" s="8">
        <v>18.91</v>
      </c>
      <c r="G86" s="15">
        <v>1.2283122359465758E-2</v>
      </c>
      <c r="H86" s="16">
        <v>-1.7196371303251532E-5</v>
      </c>
      <c r="J86" s="11"/>
    </row>
    <row r="87" spans="1:10" x14ac:dyDescent="0.25">
      <c r="A87" s="5" t="s">
        <v>78</v>
      </c>
      <c r="B87" s="8">
        <v>14.645058659773316</v>
      </c>
      <c r="C87" s="6">
        <v>14.73</v>
      </c>
      <c r="D87" s="7">
        <v>5.8000000000000274E-3</v>
      </c>
      <c r="E87" s="13">
        <v>4.2752038178564327</v>
      </c>
      <c r="F87" s="8">
        <v>4.3</v>
      </c>
      <c r="G87" s="15">
        <v>2.773100667061702E-3</v>
      </c>
      <c r="H87" s="16">
        <v>1.6083983868957949E-5</v>
      </c>
      <c r="J87" s="11"/>
    </row>
    <row r="88" spans="1:10" x14ac:dyDescent="0.25">
      <c r="A88" s="5" t="s">
        <v>19</v>
      </c>
      <c r="B88" s="8">
        <v>47.605746209098164</v>
      </c>
      <c r="C88" s="6">
        <v>47.72</v>
      </c>
      <c r="D88" s="7">
        <v>2.3999999999999577E-3</v>
      </c>
      <c r="E88" s="13">
        <v>1.8455706304868318</v>
      </c>
      <c r="F88" s="9">
        <v>1.85</v>
      </c>
      <c r="G88" s="15">
        <v>1.1971249476191376E-3</v>
      </c>
      <c r="H88" s="16">
        <v>2.8730998742858798E-6</v>
      </c>
      <c r="J88" s="11"/>
    </row>
    <row r="89" spans="1:10" x14ac:dyDescent="0.25">
      <c r="A89" s="5" t="s">
        <v>10</v>
      </c>
      <c r="B89" s="8">
        <v>52.559174590329761</v>
      </c>
      <c r="C89" s="6">
        <v>51.96</v>
      </c>
      <c r="D89" s="7">
        <v>-1.1399999999999966E-2</v>
      </c>
      <c r="E89" s="13">
        <v>21.919886708476636</v>
      </c>
      <c r="F89" s="8">
        <v>21.67</v>
      </c>
      <c r="G89" s="15">
        <v>1.4218281757540002E-2</v>
      </c>
      <c r="H89" s="16">
        <v>-1.6208841203595555E-4</v>
      </c>
      <c r="J89" s="11"/>
    </row>
    <row r="90" spans="1:10" x14ac:dyDescent="0.25">
      <c r="A90" s="5" t="s">
        <v>16</v>
      </c>
      <c r="B90" s="8">
        <v>25.699693564862105</v>
      </c>
      <c r="C90" s="6">
        <v>25.16</v>
      </c>
      <c r="D90" s="7">
        <v>-2.1000000000000019E-2</v>
      </c>
      <c r="E90" s="13">
        <v>0.67645556690500508</v>
      </c>
      <c r="F90" s="8">
        <v>0.66225000000000001</v>
      </c>
      <c r="G90" s="15">
        <v>4.3878127540652052E-4</v>
      </c>
      <c r="H90" s="16">
        <v>-9.2144067835369392E-6</v>
      </c>
      <c r="J90" s="11"/>
    </row>
    <row r="91" spans="1:10" x14ac:dyDescent="0.25">
      <c r="A91" s="5" t="s">
        <v>36</v>
      </c>
      <c r="B91" s="8">
        <v>36.999086943289029</v>
      </c>
      <c r="C91" s="6">
        <v>36.47</v>
      </c>
      <c r="D91" s="7">
        <v>-1.4299999999999979E-2</v>
      </c>
      <c r="E91" s="13">
        <v>21.010449426803287</v>
      </c>
      <c r="F91" s="8">
        <v>20.71</v>
      </c>
      <c r="G91" s="15">
        <v>1.3628377453580141E-2</v>
      </c>
      <c r="H91" s="16">
        <v>-1.9488579758619574E-4</v>
      </c>
      <c r="J91" s="11"/>
    </row>
    <row r="92" spans="1:10" x14ac:dyDescent="0.25">
      <c r="A92" s="5" t="s">
        <v>24</v>
      </c>
      <c r="B92" s="8">
        <v>76.201395812562325</v>
      </c>
      <c r="C92" s="6">
        <v>76.430000000000007</v>
      </c>
      <c r="D92" s="7">
        <v>2.9999999999998916E-3</v>
      </c>
      <c r="E92" s="13">
        <v>101.11665004985046</v>
      </c>
      <c r="F92" s="8">
        <v>101.42</v>
      </c>
      <c r="G92" s="15">
        <v>6.5589071691295311E-2</v>
      </c>
      <c r="H92" s="16">
        <v>1.9676721507387883E-4</v>
      </c>
      <c r="J92" s="11"/>
    </row>
    <row r="93" spans="1:10" x14ac:dyDescent="0.25">
      <c r="A93" s="5" t="s">
        <v>96</v>
      </c>
      <c r="B93" s="8">
        <v>150.00500851447461</v>
      </c>
      <c r="C93" s="6">
        <v>149.75</v>
      </c>
      <c r="D93" s="7">
        <v>-1.7000000000000348E-3</v>
      </c>
      <c r="E93" s="13">
        <v>2.3039166583191424</v>
      </c>
      <c r="F93" s="8">
        <v>2.2999999999999998</v>
      </c>
      <c r="G93" s="15">
        <v>1.4944299954435371E-3</v>
      </c>
      <c r="H93" s="16">
        <v>-2.5405309922540653E-6</v>
      </c>
      <c r="J93" s="11"/>
    </row>
    <row r="94" spans="1:10" x14ac:dyDescent="0.25">
      <c r="A94" s="5" t="s">
        <v>13</v>
      </c>
      <c r="B94" s="8">
        <v>66.00120385232745</v>
      </c>
      <c r="C94" s="6">
        <v>65.790000000000006</v>
      </c>
      <c r="D94" s="7">
        <v>-3.1999999999999806E-3</v>
      </c>
      <c r="E94" s="13">
        <v>38.513242375601926</v>
      </c>
      <c r="F94" s="8">
        <v>38.39</v>
      </c>
      <c r="G94" s="15">
        <v>2.4981521974790966E-2</v>
      </c>
      <c r="H94" s="16">
        <v>-7.9940870319330612E-5</v>
      </c>
      <c r="J94" s="11"/>
    </row>
    <row r="95" spans="1:10" x14ac:dyDescent="0.25">
      <c r="A95" s="5" t="s">
        <v>73</v>
      </c>
      <c r="B95" s="8">
        <v>24.799206742687161</v>
      </c>
      <c r="C95" s="6">
        <v>25.01</v>
      </c>
      <c r="D95" s="7">
        <v>8.499999999999952E-3</v>
      </c>
      <c r="E95" s="13">
        <v>4.7595438770451164</v>
      </c>
      <c r="F95" s="8">
        <v>4.8</v>
      </c>
      <c r="G95" s="15">
        <v>3.0872666807640098E-3</v>
      </c>
      <c r="H95" s="16">
        <v>2.6241766786493934E-5</v>
      </c>
      <c r="J95" s="11"/>
    </row>
    <row r="96" spans="1:10" x14ac:dyDescent="0.25">
      <c r="A96" s="5" t="s">
        <v>87</v>
      </c>
      <c r="B96" s="8">
        <v>65.946977304679649</v>
      </c>
      <c r="C96" s="6">
        <v>65.67</v>
      </c>
      <c r="D96" s="7">
        <v>-4.1999999999998705E-3</v>
      </c>
      <c r="E96" s="13">
        <v>3.3038762803775859</v>
      </c>
      <c r="F96" s="8">
        <v>3.2900000000000005</v>
      </c>
      <c r="G96" s="15">
        <v>2.1430513976286149E-3</v>
      </c>
      <c r="H96" s="16">
        <v>-9.000815870039905E-6</v>
      </c>
      <c r="J96" s="11"/>
    </row>
    <row r="97" spans="1:10" x14ac:dyDescent="0.25">
      <c r="A97" s="5" t="s">
        <v>52</v>
      </c>
      <c r="B97" s="8">
        <v>29.504890591912879</v>
      </c>
      <c r="C97" s="6">
        <v>29.26</v>
      </c>
      <c r="D97" s="7">
        <v>-8.2999999999999741E-3</v>
      </c>
      <c r="E97" s="13">
        <v>9.9626903297368159</v>
      </c>
      <c r="F97" s="8">
        <v>9.8800000000000008</v>
      </c>
      <c r="G97" s="15">
        <v>6.4622751045761021E-3</v>
      </c>
      <c r="H97" s="16">
        <v>-5.3636883367981478E-5</v>
      </c>
      <c r="J97" s="11"/>
    </row>
    <row r="98" spans="1:10" x14ac:dyDescent="0.25">
      <c r="A98" s="5" t="s">
        <v>32</v>
      </c>
      <c r="B98" s="8">
        <v>39.499598070739552</v>
      </c>
      <c r="C98" s="6">
        <v>39.31</v>
      </c>
      <c r="D98" s="7">
        <v>-4.8000000000000265E-3</v>
      </c>
      <c r="E98" s="13">
        <v>31.802652733118972</v>
      </c>
      <c r="F98" s="8">
        <v>31.65</v>
      </c>
      <c r="G98" s="15">
        <v>2.0628714153975217E-2</v>
      </c>
      <c r="H98" s="16">
        <v>-9.9017827939081583E-5</v>
      </c>
      <c r="J98" s="11"/>
    </row>
    <row r="99" spans="1:10" x14ac:dyDescent="0.25">
      <c r="A99" s="5" t="s">
        <v>3</v>
      </c>
      <c r="B99" s="8">
        <v>79.873835986782808</v>
      </c>
      <c r="C99" s="6">
        <v>79.77</v>
      </c>
      <c r="D99" s="7">
        <v>-1.2999999999999678E-3</v>
      </c>
      <c r="E99" s="13">
        <v>12.546310203264243</v>
      </c>
      <c r="F99" s="8">
        <v>12.53</v>
      </c>
      <c r="G99" s="15">
        <v>8.1381339173858952E-3</v>
      </c>
      <c r="H99" s="16">
        <v>-1.0579574092601403E-5</v>
      </c>
      <c r="J99" s="11"/>
    </row>
    <row r="100" spans="1:10" x14ac:dyDescent="0.25">
      <c r="A100" s="5" t="s">
        <v>118</v>
      </c>
      <c r="B100" s="8">
        <v>2.0999416682869922</v>
      </c>
      <c r="C100" s="6">
        <v>2.16</v>
      </c>
      <c r="D100" s="7">
        <v>2.8599999999999959E-2</v>
      </c>
      <c r="E100" s="13">
        <v>0.47266187050359715</v>
      </c>
      <c r="F100" s="8">
        <v>0.48618</v>
      </c>
      <c r="G100" s="15">
        <v>3.0659098471832753E-4</v>
      </c>
      <c r="H100" s="16">
        <v>8.7685021629441546E-6</v>
      </c>
      <c r="J100" s="11"/>
    </row>
    <row r="101" spans="1:10" x14ac:dyDescent="0.25">
      <c r="A101" s="5" t="s">
        <v>117</v>
      </c>
      <c r="B101" s="8">
        <v>0.58502726822012885</v>
      </c>
      <c r="C101" s="6">
        <v>0.59</v>
      </c>
      <c r="D101" s="7">
        <v>8.499999999999952E-3</v>
      </c>
      <c r="E101" s="13">
        <v>0.67964303420922156</v>
      </c>
      <c r="F101" s="8">
        <v>0.68541999999999992</v>
      </c>
      <c r="G101" s="15">
        <v>4.4084881840193073E-4</v>
      </c>
      <c r="H101" s="16">
        <v>3.7472149564163899E-6</v>
      </c>
      <c r="J101" s="11"/>
    </row>
    <row r="102" spans="1:10" x14ac:dyDescent="0.25">
      <c r="A102" s="5" t="s">
        <v>54</v>
      </c>
      <c r="B102" s="8">
        <v>111.7052881758764</v>
      </c>
      <c r="C102" s="6">
        <v>112.8</v>
      </c>
      <c r="D102" s="7">
        <v>9.8000000000000309E-3</v>
      </c>
      <c r="E102" s="13">
        <v>9.4573182808476925</v>
      </c>
      <c r="F102" s="8">
        <v>9.5500000000000007</v>
      </c>
      <c r="G102" s="15">
        <v>6.1344667413735622E-3</v>
      </c>
      <c r="H102" s="16">
        <v>6.0117774065461103E-5</v>
      </c>
      <c r="J102" s="11"/>
    </row>
    <row r="103" spans="1:10" x14ac:dyDescent="0.25">
      <c r="A103" s="5" t="s">
        <v>111</v>
      </c>
      <c r="B103" s="8">
        <v>62.5</v>
      </c>
      <c r="C103" s="6">
        <v>64.55</v>
      </c>
      <c r="D103" s="7">
        <v>3.279999999999994E-2</v>
      </c>
      <c r="E103" s="13">
        <v>1.2199845081332301</v>
      </c>
      <c r="F103" s="8">
        <v>1.26</v>
      </c>
      <c r="G103" s="15">
        <v>7.9134001499032471E-4</v>
      </c>
      <c r="H103" s="16">
        <v>2.5955952491682604E-5</v>
      </c>
      <c r="J103" s="11"/>
    </row>
    <row r="104" spans="1:10" x14ac:dyDescent="0.25">
      <c r="A104" s="5" t="s">
        <v>23</v>
      </c>
      <c r="B104" s="8">
        <v>5.9741819273491448</v>
      </c>
      <c r="C104" s="6">
        <v>5.97</v>
      </c>
      <c r="D104" s="7">
        <v>-7.0000000000014495E-4</v>
      </c>
      <c r="E104" s="13">
        <v>5.4438106674672273</v>
      </c>
      <c r="F104" s="8">
        <v>5.4399999999999995</v>
      </c>
      <c r="G104" s="15">
        <v>3.531114687505158E-3</v>
      </c>
      <c r="H104" s="16">
        <v>-2.4717802812541223E-6</v>
      </c>
      <c r="J104" s="11"/>
    </row>
    <row r="105" spans="1:10" x14ac:dyDescent="0.25">
      <c r="A105" s="5" t="s">
        <v>63</v>
      </c>
      <c r="B105" s="8">
        <v>13.85530227948464</v>
      </c>
      <c r="C105" s="6">
        <v>13.98</v>
      </c>
      <c r="D105" s="7">
        <v>8.999999999999897E-3</v>
      </c>
      <c r="E105" s="13">
        <v>7.4826560951437076</v>
      </c>
      <c r="F105" s="8">
        <v>7.55</v>
      </c>
      <c r="G105" s="15">
        <v>4.8536068671552503E-3</v>
      </c>
      <c r="H105" s="16">
        <v>4.3682461804396752E-5</v>
      </c>
      <c r="J105" s="11"/>
    </row>
    <row r="106" spans="1:10" x14ac:dyDescent="0.25">
      <c r="A106" s="5" t="s">
        <v>109</v>
      </c>
      <c r="B106" s="8">
        <v>21.130417415618133</v>
      </c>
      <c r="C106" s="6">
        <v>21.16</v>
      </c>
      <c r="D106" s="7">
        <v>1.4000000000000679E-3</v>
      </c>
      <c r="E106" s="13">
        <v>1.348112642300779</v>
      </c>
      <c r="F106" s="8">
        <v>1.35</v>
      </c>
      <c r="G106" s="15">
        <v>8.744500208443971E-4</v>
      </c>
      <c r="H106" s="16">
        <v>1.2242300291822153E-6</v>
      </c>
      <c r="J106" s="11"/>
    </row>
    <row r="107" spans="1:10" x14ac:dyDescent="0.25">
      <c r="A107" s="5" t="s">
        <v>103</v>
      </c>
      <c r="B107" s="8">
        <v>4.7637834105927608</v>
      </c>
      <c r="C107" s="6">
        <v>4.83</v>
      </c>
      <c r="D107" s="7">
        <v>1.3900000000000023E-2</v>
      </c>
      <c r="E107" s="13">
        <v>1.5977907091429135</v>
      </c>
      <c r="F107" s="8">
        <v>1.62</v>
      </c>
      <c r="G107" s="15">
        <v>1.0364030979862857E-3</v>
      </c>
      <c r="H107" s="16">
        <v>1.4406003062009395E-5</v>
      </c>
      <c r="J107" s="11"/>
    </row>
    <row r="108" spans="1:10" x14ac:dyDescent="0.25">
      <c r="A108" s="5" t="s">
        <v>65</v>
      </c>
      <c r="B108" s="8">
        <v>57.399794450154168</v>
      </c>
      <c r="C108" s="6">
        <v>55.85</v>
      </c>
      <c r="D108" s="7">
        <v>-2.7000000000000024E-2</v>
      </c>
      <c r="E108" s="13">
        <v>6.5364850976361772</v>
      </c>
      <c r="F108" s="8">
        <v>6.36</v>
      </c>
      <c r="G108" s="15">
        <v>4.2398753268287955E-3</v>
      </c>
      <c r="H108" s="16">
        <v>-1.1447663382437758E-4</v>
      </c>
      <c r="J108" s="11"/>
    </row>
    <row r="109" spans="1:10" x14ac:dyDescent="0.25">
      <c r="A109" s="5" t="s">
        <v>88</v>
      </c>
      <c r="B109" s="8">
        <v>56.180914714531994</v>
      </c>
      <c r="C109" s="6">
        <v>55.4</v>
      </c>
      <c r="D109" s="7">
        <v>-1.3900000000000023E-2</v>
      </c>
      <c r="E109" s="13">
        <v>3.2146841091167224</v>
      </c>
      <c r="F109" s="8">
        <v>3.17</v>
      </c>
      <c r="G109" s="15">
        <v>2.0851971104044334E-3</v>
      </c>
      <c r="H109" s="16">
        <v>-2.8984239834621674E-5</v>
      </c>
      <c r="J109" s="11"/>
    </row>
    <row r="110" spans="1:10" x14ac:dyDescent="0.25">
      <c r="A110" s="5" t="s">
        <v>94</v>
      </c>
      <c r="B110" s="8">
        <v>12.7896479085164</v>
      </c>
      <c r="C110" s="6">
        <v>12.75</v>
      </c>
      <c r="D110" s="7">
        <v>-3.0999999999999917E-3</v>
      </c>
      <c r="E110" s="13">
        <v>2.6983649312869895</v>
      </c>
      <c r="F110" s="8">
        <v>2.69</v>
      </c>
      <c r="G110" s="15">
        <v>1.7502879183616826E-3</v>
      </c>
      <c r="H110" s="16">
        <v>-5.4258925469212016E-6</v>
      </c>
      <c r="J110" s="11"/>
    </row>
    <row r="111" spans="1:10" x14ac:dyDescent="0.25">
      <c r="A111" s="5" t="s">
        <v>56</v>
      </c>
      <c r="B111" s="8">
        <v>43.099830118916763</v>
      </c>
      <c r="C111" s="6">
        <v>43.13</v>
      </c>
      <c r="D111" s="7">
        <v>6.9999999999992291E-4</v>
      </c>
      <c r="E111" s="13">
        <v>8.9137603677425812</v>
      </c>
      <c r="F111" s="8">
        <v>8.92</v>
      </c>
      <c r="G111" s="15">
        <v>5.7818892092515442E-3</v>
      </c>
      <c r="H111" s="16">
        <v>4.0473224464756349E-6</v>
      </c>
      <c r="J111" s="11"/>
    </row>
    <row r="112" spans="1:10" x14ac:dyDescent="0.25">
      <c r="A112" s="5" t="s">
        <v>8</v>
      </c>
      <c r="B112" s="8">
        <v>47.692154321603027</v>
      </c>
      <c r="C112" s="17">
        <v>47.84</v>
      </c>
      <c r="D112" s="18">
        <v>3.1000000000001027E-3</v>
      </c>
      <c r="E112" s="13">
        <v>113.41840295085234</v>
      </c>
      <c r="F112" s="8">
        <v>113.77</v>
      </c>
      <c r="G112" s="15">
        <v>7.3568574103159534E-2</v>
      </c>
      <c r="H112" s="16">
        <v>2.280625797198021E-4</v>
      </c>
      <c r="J112" s="11"/>
    </row>
    <row r="113" spans="1:10" x14ac:dyDescent="0.25">
      <c r="A113" s="5" t="s">
        <v>107</v>
      </c>
      <c r="B113" s="8">
        <v>14.19987983176447</v>
      </c>
      <c r="C113" s="6">
        <v>14.18</v>
      </c>
      <c r="D113" s="7">
        <v>-1.3999999999999568E-3</v>
      </c>
      <c r="E113" s="13">
        <v>1.5321450030042059</v>
      </c>
      <c r="F113" s="8">
        <v>1.53</v>
      </c>
      <c r="G113" s="15">
        <v>9.938221686928931E-4</v>
      </c>
      <c r="H113" s="16">
        <v>-1.3913510361700075E-6</v>
      </c>
      <c r="J113" s="11"/>
    </row>
    <row r="114" spans="1:10" x14ac:dyDescent="0.25">
      <c r="A114" s="5" t="s">
        <v>38</v>
      </c>
      <c r="B114" s="8">
        <v>207.34156874560608</v>
      </c>
      <c r="C114" s="6">
        <v>206.45</v>
      </c>
      <c r="D114" s="7">
        <v>-4.2999999999999705E-3</v>
      </c>
      <c r="E114" s="13">
        <v>20.327407853771213</v>
      </c>
      <c r="F114" s="8">
        <v>20.239999999999998</v>
      </c>
      <c r="G114" s="15">
        <v>1.3185324181150235E-2</v>
      </c>
      <c r="H114" s="16">
        <v>-5.6696893978945627E-5</v>
      </c>
      <c r="J114" s="11"/>
    </row>
    <row r="115" spans="1:10" x14ac:dyDescent="0.25">
      <c r="A115" s="5" t="s">
        <v>62</v>
      </c>
      <c r="B115" s="8">
        <v>97.995812144780146</v>
      </c>
      <c r="C115" s="6">
        <v>98.28</v>
      </c>
      <c r="D115" s="7">
        <v>2.8999999999999027E-3</v>
      </c>
      <c r="E115" s="13">
        <v>7.7874164921726994</v>
      </c>
      <c r="F115" s="8">
        <v>7.81</v>
      </c>
      <c r="G115" s="15">
        <v>5.0512889652028778E-3</v>
      </c>
      <c r="H115" s="16">
        <v>1.4648737999087854E-5</v>
      </c>
      <c r="J115" s="11"/>
    </row>
    <row r="116" spans="1:10" x14ac:dyDescent="0.25">
      <c r="A116" s="5" t="s">
        <v>79</v>
      </c>
      <c r="B116" s="8">
        <v>30.161506017899395</v>
      </c>
      <c r="C116" s="6">
        <v>29.32</v>
      </c>
      <c r="D116" s="7">
        <v>-2.7900000000000036E-2</v>
      </c>
      <c r="E116" s="13">
        <v>3.878201831087337</v>
      </c>
      <c r="F116" s="8">
        <v>3.77</v>
      </c>
      <c r="G116" s="15">
        <v>2.5155862838325532E-3</v>
      </c>
      <c r="H116" s="16">
        <v>-7.0184857318928323E-5</v>
      </c>
      <c r="J116" s="11"/>
    </row>
    <row r="117" spans="1:10" x14ac:dyDescent="0.25">
      <c r="A117" s="5" t="s">
        <v>60</v>
      </c>
      <c r="B117" s="8">
        <v>14.355449292687787</v>
      </c>
      <c r="C117" s="6">
        <v>14.41</v>
      </c>
      <c r="D117" s="7">
        <v>3.8000000000000256E-3</v>
      </c>
      <c r="E117" s="13">
        <v>8.0693365212193662</v>
      </c>
      <c r="F117" s="8">
        <v>8.1</v>
      </c>
      <c r="G117" s="15">
        <v>5.2341557135300613E-3</v>
      </c>
      <c r="H117" s="16">
        <v>1.9889791711414366E-5</v>
      </c>
      <c r="J117" s="11"/>
    </row>
    <row r="118" spans="1:10" x14ac:dyDescent="0.25">
      <c r="A118" s="5" t="s">
        <v>1</v>
      </c>
      <c r="B118" s="8">
        <v>59.100449775112452</v>
      </c>
      <c r="C118" s="6">
        <v>59.13</v>
      </c>
      <c r="D118" s="7">
        <v>4.9999999999994493E-4</v>
      </c>
      <c r="E118" s="13">
        <v>2.6486756621689156</v>
      </c>
      <c r="F118" s="8">
        <v>2.65</v>
      </c>
      <c r="G118" s="15">
        <v>1.7180570935384049E-3</v>
      </c>
      <c r="H118" s="16">
        <v>8.5902854676910788E-7</v>
      </c>
      <c r="J118" s="11"/>
    </row>
    <row r="119" spans="1:10" x14ac:dyDescent="0.25">
      <c r="A119" s="5" t="s">
        <v>104</v>
      </c>
      <c r="B119" s="8">
        <v>84.500251130085388</v>
      </c>
      <c r="C119" s="6">
        <v>84.12</v>
      </c>
      <c r="D119" s="7">
        <v>-4.4999999999999485E-3</v>
      </c>
      <c r="E119" s="13">
        <v>1.5971873430436967</v>
      </c>
      <c r="F119" s="8">
        <v>1.59</v>
      </c>
      <c r="G119" s="15">
        <v>1.0360117260181862E-3</v>
      </c>
      <c r="H119" s="16">
        <v>-4.6620527670817845E-6</v>
      </c>
      <c r="J119" s="11"/>
    </row>
    <row r="120" spans="1:10" x14ac:dyDescent="0.25">
      <c r="A120" s="5" t="s">
        <v>34</v>
      </c>
      <c r="B120" s="8">
        <v>43.696634856855852</v>
      </c>
      <c r="C120" s="6">
        <v>43.5</v>
      </c>
      <c r="D120" s="7">
        <v>-4.5000000000000595E-3</v>
      </c>
      <c r="E120" s="13">
        <v>25.786037167252637</v>
      </c>
      <c r="F120" s="8">
        <v>25.669999999999998</v>
      </c>
      <c r="G120" s="15">
        <v>1.6726050947727573E-2</v>
      </c>
      <c r="H120" s="16">
        <v>-7.5267229264775075E-5</v>
      </c>
      <c r="J120" s="11"/>
    </row>
    <row r="121" spans="1:10" x14ac:dyDescent="0.25">
      <c r="A121" s="5" t="s">
        <v>106</v>
      </c>
      <c r="B121" s="8">
        <v>180.00197804371476</v>
      </c>
      <c r="C121" s="6">
        <v>182</v>
      </c>
      <c r="D121" s="7">
        <v>1.110000000000011E-2</v>
      </c>
      <c r="E121" s="13">
        <v>1.5230936603698941</v>
      </c>
      <c r="F121" s="8">
        <v>1.54</v>
      </c>
      <c r="G121" s="15">
        <v>9.8795103707755906E-4</v>
      </c>
      <c r="H121" s="16">
        <v>1.0966256511561013E-5</v>
      </c>
      <c r="J121" s="11"/>
    </row>
    <row r="122" spans="1:10" x14ac:dyDescent="0.25">
      <c r="A122" s="5" t="s">
        <v>5</v>
      </c>
      <c r="B122" s="8">
        <v>20.115745360207544</v>
      </c>
      <c r="C122" s="6">
        <v>20.16</v>
      </c>
      <c r="D122" s="7">
        <v>2.1999999999999797E-3</v>
      </c>
      <c r="E122" s="13">
        <v>27.120335262422671</v>
      </c>
      <c r="F122" s="8">
        <v>27.18</v>
      </c>
      <c r="G122" s="15">
        <v>1.7591540195823915E-2</v>
      </c>
      <c r="H122" s="16">
        <v>3.8701388430812255E-5</v>
      </c>
      <c r="J122" s="11"/>
    </row>
    <row r="123" spans="1:10" x14ac:dyDescent="0.25">
      <c r="A123" s="5" t="s">
        <v>77</v>
      </c>
      <c r="B123" s="8">
        <v>92.932479053721053</v>
      </c>
      <c r="C123" s="6">
        <v>94.28</v>
      </c>
      <c r="D123" s="7">
        <v>1.4499999999999957E-2</v>
      </c>
      <c r="E123" s="13">
        <v>4.4455396747166089</v>
      </c>
      <c r="F123" s="8">
        <v>4.51</v>
      </c>
      <c r="G123" s="15">
        <v>2.8835886106564753E-3</v>
      </c>
      <c r="H123" s="16">
        <v>4.1812034854518772E-5</v>
      </c>
      <c r="J123" s="11"/>
    </row>
    <row r="124" spans="1:10" x14ac:dyDescent="0.25">
      <c r="A124" s="5" t="s">
        <v>17</v>
      </c>
      <c r="B124" s="8">
        <v>25.405828280852731</v>
      </c>
      <c r="C124" s="6">
        <v>25.98</v>
      </c>
      <c r="D124" s="7">
        <v>2.2599999999999953E-2</v>
      </c>
      <c r="E124" s="13">
        <v>7.324467044787796</v>
      </c>
      <c r="F124" s="10">
        <v>7.49</v>
      </c>
      <c r="G124" s="15">
        <v>4.7509979203650158E-3</v>
      </c>
      <c r="H124" s="16">
        <v>1.0737255300024914E-4</v>
      </c>
      <c r="J124" s="11"/>
    </row>
  </sheetData>
  <sortState ref="A5:H124">
    <sortCondition ref="A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E8"/>
  <sheetViews>
    <sheetView zoomScale="210" zoomScaleNormal="210" workbookViewId="0">
      <selection activeCell="D3" sqref="D3"/>
    </sheetView>
  </sheetViews>
  <sheetFormatPr baseColWidth="10" defaultRowHeight="15" x14ac:dyDescent="0.25"/>
  <cols>
    <col min="1" max="1" width="8.85546875" customWidth="1"/>
    <col min="2" max="2" width="18.85546875" customWidth="1"/>
    <col min="3" max="3" width="18.28515625" customWidth="1"/>
  </cols>
  <sheetData>
    <row r="2" spans="1:5" ht="14.45" x14ac:dyDescent="0.35">
      <c r="A2" s="3" t="s">
        <v>120</v>
      </c>
      <c r="B2" s="4" t="s">
        <v>129</v>
      </c>
      <c r="C2" s="4" t="s">
        <v>124</v>
      </c>
    </row>
    <row r="3" spans="1:5" ht="20.25" customHeight="1" x14ac:dyDescent="0.25">
      <c r="A3" s="5" t="s">
        <v>28</v>
      </c>
      <c r="B3" s="7">
        <f>VLOOKUP($A3,Data!$A$5:$H$124,4)</f>
        <v>2.3999999999999577E-3</v>
      </c>
      <c r="C3" s="7">
        <f>VLOOKUP($A3,Data!$A$5:$H$124,8)</f>
        <v>7.2107041709780208E-5</v>
      </c>
    </row>
    <row r="4" spans="1:5" x14ac:dyDescent="0.25">
      <c r="A4" s="5" t="s">
        <v>26</v>
      </c>
      <c r="B4" s="7">
        <f>VLOOKUP(A4,Data!$A$5:$H$124,4)</f>
        <v>-8.600000000000052E-3</v>
      </c>
      <c r="C4" s="7">
        <f>VLOOKUP($A4,Data!$A$5:$H$124,8)</f>
        <v>-3.5538612578733412E-4</v>
      </c>
    </row>
    <row r="5" spans="1:5" x14ac:dyDescent="0.25">
      <c r="A5" s="5" t="s">
        <v>14</v>
      </c>
      <c r="B5" s="7">
        <f>VLOOKUP(A5,Data!$A$5:$H$124,4)</f>
        <v>1.1300000000000088E-2</v>
      </c>
      <c r="C5" s="7">
        <f>VLOOKUP($A5,Data!$A$5:$H$124,8)</f>
        <v>7.3420390933011425E-5</v>
      </c>
    </row>
    <row r="6" spans="1:5" x14ac:dyDescent="0.25">
      <c r="A6" s="5" t="s">
        <v>33</v>
      </c>
      <c r="B6" s="7">
        <f>VLOOKUP(A6,Data!$A$5:$H$124,4)</f>
        <v>-9.3999999999999639E-3</v>
      </c>
      <c r="C6" s="7">
        <f>VLOOKUP($A6,Data!$A$5:$H$124,8)</f>
        <v>-1.7474458774227941E-4</v>
      </c>
    </row>
    <row r="7" spans="1:5" x14ac:dyDescent="0.25">
      <c r="A7" s="5" t="s">
        <v>42</v>
      </c>
      <c r="B7" s="7">
        <f>VLOOKUP(A7,Data!$A$5:$H$124,4)</f>
        <v>-4.4999999999998375E-3</v>
      </c>
      <c r="C7" s="7">
        <f>VLOOKUP($A7,Data!$A$5:$H$124,8)</f>
        <v>-5.0197700234237863E-5</v>
      </c>
    </row>
    <row r="8" spans="1:5" x14ac:dyDescent="0.25">
      <c r="A8" s="5" t="s">
        <v>32</v>
      </c>
      <c r="B8" s="7">
        <f>VLOOKUP(A8,Data!$A$5:$H$124,4)</f>
        <v>-4.8000000000000265E-3</v>
      </c>
      <c r="C8" s="7">
        <f>VLOOKUP($A8,Data!$A$5:$H$124,8)</f>
        <v>-9.9017827939081583E-5</v>
      </c>
      <c r="E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2:C8"/>
  <sheetViews>
    <sheetView workbookViewId="0">
      <selection activeCell="B5" sqref="B5"/>
    </sheetView>
  </sheetViews>
  <sheetFormatPr baseColWidth="10" defaultRowHeight="15" x14ac:dyDescent="0.25"/>
  <cols>
    <col min="1" max="1" width="17.7109375" bestFit="1" customWidth="1"/>
    <col min="2" max="2" width="13.42578125" customWidth="1"/>
    <col min="3" max="3" width="13.85546875" customWidth="1"/>
  </cols>
  <sheetData>
    <row r="2" spans="1:3" x14ac:dyDescent="0.25">
      <c r="A2" s="3" t="s">
        <v>120</v>
      </c>
      <c r="B2" s="4" t="s">
        <v>129</v>
      </c>
      <c r="C2" s="4" t="s">
        <v>123</v>
      </c>
    </row>
    <row r="3" spans="1:3" x14ac:dyDescent="0.25">
      <c r="A3" s="5" t="s">
        <v>28</v>
      </c>
      <c r="B3" s="7">
        <v>2.3999999999999577E-3</v>
      </c>
      <c r="C3" s="16">
        <v>7.2107041709780208E-5</v>
      </c>
    </row>
    <row r="4" spans="1:3" x14ac:dyDescent="0.25">
      <c r="A4" s="5" t="s">
        <v>26</v>
      </c>
      <c r="B4" s="7">
        <v>-8.600000000000052E-3</v>
      </c>
      <c r="C4" s="16">
        <v>-3.5538612578733412E-4</v>
      </c>
    </row>
    <row r="5" spans="1:3" x14ac:dyDescent="0.25">
      <c r="A5" s="5" t="s">
        <v>14</v>
      </c>
      <c r="B5" s="7">
        <v>1.1300000000000088E-2</v>
      </c>
      <c r="C5" s="16">
        <v>7.3420390933011425E-5</v>
      </c>
    </row>
    <row r="6" spans="1:3" x14ac:dyDescent="0.25">
      <c r="A6" s="5" t="s">
        <v>33</v>
      </c>
      <c r="B6" s="7">
        <v>-9.3999999999999639E-3</v>
      </c>
      <c r="C6" s="16">
        <v>-1.7474458774227941E-4</v>
      </c>
    </row>
    <row r="7" spans="1:3" x14ac:dyDescent="0.25">
      <c r="A7" s="5" t="s">
        <v>42</v>
      </c>
      <c r="B7" s="7">
        <v>-4.4999999999998375E-3</v>
      </c>
      <c r="C7" s="16">
        <v>-5.0197700234237863E-5</v>
      </c>
    </row>
    <row r="8" spans="1:3" x14ac:dyDescent="0.25">
      <c r="A8" s="5" t="s">
        <v>32</v>
      </c>
      <c r="B8" s="7">
        <v>-4.8000000000000265E-3</v>
      </c>
      <c r="C8" s="16">
        <v>-9.9017827939081583E-5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124"/>
  <sheetViews>
    <sheetView workbookViewId="0">
      <selection activeCell="H5" sqref="H5:H19"/>
    </sheetView>
  </sheetViews>
  <sheetFormatPr baseColWidth="10" defaultRowHeight="15" x14ac:dyDescent="0.25"/>
  <cols>
    <col min="1" max="1" width="19.7109375" customWidth="1"/>
    <col min="2" max="2" width="10.5703125" bestFit="1" customWidth="1"/>
    <col min="3" max="3" width="14.85546875" bestFit="1" customWidth="1"/>
    <col min="4" max="4" width="20.5703125" style="2" customWidth="1"/>
    <col min="5" max="5" width="22" style="2" customWidth="1"/>
    <col min="6" max="6" width="12" bestFit="1" customWidth="1"/>
    <col min="7" max="7" width="12.85546875" customWidth="1"/>
    <col min="8" max="9" width="44.5703125" bestFit="1" customWidth="1"/>
  </cols>
  <sheetData>
    <row r="1" spans="1:9" ht="23.45" x14ac:dyDescent="0.35">
      <c r="A1" s="1" t="s">
        <v>121</v>
      </c>
      <c r="E1" s="14"/>
      <c r="I1" s="11"/>
    </row>
    <row r="2" spans="1:9" ht="23.45" x14ac:dyDescent="0.35">
      <c r="A2" s="1" t="s">
        <v>122</v>
      </c>
    </row>
    <row r="4" spans="1:9" ht="45" x14ac:dyDescent="0.25">
      <c r="A4" s="4" t="s">
        <v>125</v>
      </c>
      <c r="B4" s="4" t="s">
        <v>126</v>
      </c>
      <c r="C4" s="4" t="s">
        <v>129</v>
      </c>
      <c r="D4" s="4" t="s">
        <v>127</v>
      </c>
      <c r="E4" s="4" t="s">
        <v>128</v>
      </c>
      <c r="F4" s="4" t="s">
        <v>123</v>
      </c>
      <c r="G4" s="4" t="s">
        <v>124</v>
      </c>
      <c r="H4" s="3" t="s">
        <v>120</v>
      </c>
    </row>
    <row r="5" spans="1:9" x14ac:dyDescent="0.25">
      <c r="A5" s="8">
        <v>36.670651524208012</v>
      </c>
      <c r="B5" s="6">
        <v>36.81</v>
      </c>
      <c r="C5" s="7">
        <v>3.8000000000000256E-3</v>
      </c>
      <c r="D5" s="13">
        <v>8.4379358437935856</v>
      </c>
      <c r="E5" s="8">
        <v>8.4700000000000006</v>
      </c>
      <c r="F5" s="15">
        <v>5.4732467769876081E-3</v>
      </c>
      <c r="G5" s="16">
        <v>2.0798337752553051E-5</v>
      </c>
      <c r="H5" s="5" t="s">
        <v>59</v>
      </c>
      <c r="I5" s="11"/>
    </row>
    <row r="6" spans="1:9" x14ac:dyDescent="0.25">
      <c r="A6" s="8">
        <v>100</v>
      </c>
      <c r="B6" s="6">
        <v>98.9</v>
      </c>
      <c r="C6" s="7">
        <v>-1.0999999999999899E-2</v>
      </c>
      <c r="D6" s="13">
        <v>9.8988877654196141</v>
      </c>
      <c r="E6" s="10">
        <v>9.7899999999999991</v>
      </c>
      <c r="F6" s="15">
        <v>6.4208897247892286E-3</v>
      </c>
      <c r="G6" s="16">
        <v>-7.062978697268086E-5</v>
      </c>
      <c r="H6" s="5" t="s">
        <v>53</v>
      </c>
      <c r="I6" s="11"/>
    </row>
    <row r="7" spans="1:9" x14ac:dyDescent="0.25">
      <c r="A7" s="8">
        <v>7.6277116864940515</v>
      </c>
      <c r="B7" s="6">
        <v>7.63</v>
      </c>
      <c r="C7" s="7">
        <v>2.9999999999996696E-4</v>
      </c>
      <c r="D7" s="13">
        <v>2.2893132060381887</v>
      </c>
      <c r="E7" s="10">
        <v>2.29</v>
      </c>
      <c r="F7" s="15">
        <v>1.4849575012685057E-3</v>
      </c>
      <c r="G7" s="16">
        <v>4.4548725038050264E-7</v>
      </c>
      <c r="H7" s="5" t="s">
        <v>97</v>
      </c>
      <c r="I7" s="11"/>
    </row>
    <row r="8" spans="1:9" x14ac:dyDescent="0.25">
      <c r="A8" s="8">
        <v>100.45045045045045</v>
      </c>
      <c r="B8" s="6">
        <v>100.35</v>
      </c>
      <c r="C8" s="7">
        <v>-1.0000000000000009E-3</v>
      </c>
      <c r="D8" s="13">
        <v>34.62462462462463</v>
      </c>
      <c r="E8" s="8">
        <v>34.590000000000003</v>
      </c>
      <c r="F8" s="15">
        <v>2.2459179429590411E-2</v>
      </c>
      <c r="G8" s="16">
        <v>-2.2459179429590431E-5</v>
      </c>
      <c r="H8" s="5" t="s">
        <v>4</v>
      </c>
      <c r="I8" s="11"/>
    </row>
    <row r="9" spans="1:9" x14ac:dyDescent="0.25">
      <c r="A9" s="8">
        <v>49.578397912065853</v>
      </c>
      <c r="B9" s="6">
        <v>49.39</v>
      </c>
      <c r="C9" s="7">
        <v>-3.8000000000000256E-3</v>
      </c>
      <c r="D9" s="13">
        <v>38.897811684400722</v>
      </c>
      <c r="E9" s="8">
        <v>38.75</v>
      </c>
      <c r="F9" s="15">
        <v>2.5230971931377154E-2</v>
      </c>
      <c r="G9" s="16">
        <v>-9.5877693339233835E-5</v>
      </c>
      <c r="H9" s="5" t="s">
        <v>30</v>
      </c>
      <c r="I9" s="11"/>
    </row>
    <row r="10" spans="1:9" x14ac:dyDescent="0.25">
      <c r="A10" s="8">
        <v>2.7758970886932972</v>
      </c>
      <c r="B10" s="6">
        <v>2.87</v>
      </c>
      <c r="C10" s="7">
        <v>3.3900000000000041E-2</v>
      </c>
      <c r="D10" s="13">
        <v>7.7957249250411067</v>
      </c>
      <c r="E10" s="8">
        <v>8.06</v>
      </c>
      <c r="F10" s="15">
        <v>5.0566782101865637E-3</v>
      </c>
      <c r="G10" s="16">
        <v>1.7142139132532471E-4</v>
      </c>
      <c r="H10" s="5" t="s">
        <v>61</v>
      </c>
      <c r="I10" s="11"/>
    </row>
    <row r="11" spans="1:9" x14ac:dyDescent="0.25">
      <c r="A11" s="8">
        <v>28.235530546623796</v>
      </c>
      <c r="B11" s="6">
        <v>28.1</v>
      </c>
      <c r="C11" s="7">
        <v>-4.8000000000000265E-3</v>
      </c>
      <c r="D11" s="13">
        <v>8.7319131832797421</v>
      </c>
      <c r="E11" s="8">
        <v>8.69</v>
      </c>
      <c r="F11" s="15">
        <v>5.6639344707123101E-3</v>
      </c>
      <c r="G11" s="16">
        <v>-2.7186885459419237E-5</v>
      </c>
      <c r="H11" s="5" t="s">
        <v>12</v>
      </c>
      <c r="I11" s="11"/>
    </row>
    <row r="12" spans="1:9" x14ac:dyDescent="0.25">
      <c r="A12" s="8">
        <v>35.60421735604217</v>
      </c>
      <c r="B12" s="6">
        <v>35.119999999999997</v>
      </c>
      <c r="C12" s="7">
        <v>-1.3599999999999945E-2</v>
      </c>
      <c r="D12" s="13">
        <v>1.1962692619626925</v>
      </c>
      <c r="E12" s="8">
        <v>1.18</v>
      </c>
      <c r="F12" s="15">
        <v>7.759571776387187E-4</v>
      </c>
      <c r="G12" s="16">
        <v>-1.0553017615886531E-5</v>
      </c>
      <c r="H12" s="5" t="s">
        <v>2</v>
      </c>
      <c r="I12" s="11"/>
    </row>
    <row r="13" spans="1:9" x14ac:dyDescent="0.25">
      <c r="A13" s="8">
        <v>7.5637818909454717</v>
      </c>
      <c r="B13" s="6">
        <v>7.56</v>
      </c>
      <c r="C13" s="7">
        <v>-4.9999999999994493E-4</v>
      </c>
      <c r="D13" s="13">
        <v>1.3206603301650826</v>
      </c>
      <c r="E13" s="8">
        <v>1.32</v>
      </c>
      <c r="F13" s="15">
        <v>8.5664314464871296E-4</v>
      </c>
      <c r="G13" s="16">
        <v>-4.2832157232430933E-7</v>
      </c>
      <c r="H13" s="5" t="s">
        <v>110</v>
      </c>
      <c r="I13" s="11"/>
    </row>
    <row r="14" spans="1:9" x14ac:dyDescent="0.25">
      <c r="A14" s="8">
        <v>25.500400320256205</v>
      </c>
      <c r="B14" s="6">
        <v>25.48</v>
      </c>
      <c r="C14" s="7">
        <v>-8.0000000000002292E-4</v>
      </c>
      <c r="D14" s="13">
        <v>1.9915932746196958</v>
      </c>
      <c r="E14" s="9">
        <v>1.99</v>
      </c>
      <c r="F14" s="15">
        <v>1.2918421842944153E-3</v>
      </c>
      <c r="G14" s="16">
        <v>-1.0334737474355618E-6</v>
      </c>
      <c r="H14" s="5" t="s">
        <v>99</v>
      </c>
      <c r="I14" s="11"/>
    </row>
    <row r="15" spans="1:9" x14ac:dyDescent="0.25">
      <c r="A15" s="8">
        <v>9.9761999206664029</v>
      </c>
      <c r="B15" s="6">
        <v>10.06</v>
      </c>
      <c r="C15" s="7">
        <v>8.3999999999999631E-3</v>
      </c>
      <c r="D15" s="13">
        <v>16.610472034906785</v>
      </c>
      <c r="E15" s="8">
        <v>16.75</v>
      </c>
      <c r="F15" s="15">
        <v>1.0774342708017434E-2</v>
      </c>
      <c r="G15" s="16">
        <v>9.0504478747346047E-5</v>
      </c>
      <c r="H15" s="5" t="s">
        <v>43</v>
      </c>
      <c r="I15" s="11"/>
    </row>
    <row r="16" spans="1:9" x14ac:dyDescent="0.25">
      <c r="A16" s="8">
        <v>9.8003629764065341</v>
      </c>
      <c r="B16" s="6">
        <v>9.7200000000000006</v>
      </c>
      <c r="C16" s="7">
        <v>-8.1999999999999851E-3</v>
      </c>
      <c r="D16" s="13">
        <v>3.7507562008469453</v>
      </c>
      <c r="E16" s="8">
        <v>3.72</v>
      </c>
      <c r="F16" s="15">
        <v>2.4329189825082081E-3</v>
      </c>
      <c r="G16" s="16">
        <v>-1.9949935656567271E-5</v>
      </c>
      <c r="H16" s="5" t="s">
        <v>80</v>
      </c>
      <c r="I16" s="11"/>
    </row>
    <row r="17" spans="1:9" x14ac:dyDescent="0.25">
      <c r="A17" s="8">
        <v>51.009120900446341</v>
      </c>
      <c r="B17" s="6">
        <v>52.57</v>
      </c>
      <c r="C17" s="7">
        <v>3.0599999999999961E-2</v>
      </c>
      <c r="D17" s="13">
        <v>3.2505336697069671</v>
      </c>
      <c r="E17" s="8">
        <v>3.35</v>
      </c>
      <c r="F17" s="15">
        <v>2.1084508415999963E-3</v>
      </c>
      <c r="G17" s="16">
        <v>6.4518595752959803E-5</v>
      </c>
      <c r="H17" s="5" t="s">
        <v>86</v>
      </c>
      <c r="I17" s="11"/>
    </row>
    <row r="18" spans="1:9" x14ac:dyDescent="0.25">
      <c r="A18" s="8">
        <v>57.371440072456473</v>
      </c>
      <c r="B18" s="6">
        <v>57.01</v>
      </c>
      <c r="C18" s="7">
        <v>-6.2999999999999723E-3</v>
      </c>
      <c r="D18" s="13">
        <v>5.796518063801952</v>
      </c>
      <c r="E18" s="8">
        <v>5.76</v>
      </c>
      <c r="F18" s="15">
        <v>3.759897491255514E-3</v>
      </c>
      <c r="G18" s="16">
        <v>-2.3687354194909634E-5</v>
      </c>
      <c r="H18" s="5" t="s">
        <v>69</v>
      </c>
      <c r="I18" s="11"/>
    </row>
    <row r="19" spans="1:9" x14ac:dyDescent="0.25">
      <c r="A19" s="8">
        <v>19.124102154828414</v>
      </c>
      <c r="B19" s="6">
        <v>19.170000000000002</v>
      </c>
      <c r="C19" s="7">
        <v>2.3999999999999577E-3</v>
      </c>
      <c r="D19" s="13">
        <v>46.318834796488431</v>
      </c>
      <c r="E19" s="8">
        <v>46.43</v>
      </c>
      <c r="F19" s="15">
        <v>3.0044600712408949E-2</v>
      </c>
      <c r="G19" s="16">
        <v>7.2107041709780208E-5</v>
      </c>
      <c r="H19" s="5" t="s">
        <v>28</v>
      </c>
      <c r="I19" s="11"/>
    </row>
    <row r="20" spans="1:9" x14ac:dyDescent="0.25">
      <c r="A20" s="8">
        <v>105.00196540880502</v>
      </c>
      <c r="B20" s="6">
        <v>106.85</v>
      </c>
      <c r="C20" s="7">
        <v>1.760000000000006E-2</v>
      </c>
      <c r="D20" s="13">
        <v>5.0019654088050309</v>
      </c>
      <c r="E20" s="8">
        <v>5.09</v>
      </c>
      <c r="F20" s="15">
        <v>3.244512823889557E-3</v>
      </c>
      <c r="G20" s="16">
        <v>5.7103425700456397E-5</v>
      </c>
      <c r="H20" s="5" t="s">
        <v>72</v>
      </c>
      <c r="I20" s="11"/>
    </row>
    <row r="21" spans="1:9" x14ac:dyDescent="0.25">
      <c r="A21" s="8">
        <v>86.196443007275661</v>
      </c>
      <c r="B21" s="6">
        <v>85.3</v>
      </c>
      <c r="C21" s="7">
        <v>-1.0399999999999965E-2</v>
      </c>
      <c r="D21" s="13">
        <v>3.4054163298302345</v>
      </c>
      <c r="E21" s="8">
        <v>3.37</v>
      </c>
      <c r="F21" s="15">
        <v>2.2089151063235143E-3</v>
      </c>
      <c r="G21" s="16">
        <v>-2.2972717105764472E-5</v>
      </c>
      <c r="H21" s="5" t="s">
        <v>85</v>
      </c>
      <c r="I21" s="11"/>
    </row>
    <row r="22" spans="1:9" x14ac:dyDescent="0.25">
      <c r="A22" s="8">
        <v>51.119628807746622</v>
      </c>
      <c r="B22" s="6">
        <v>50.68</v>
      </c>
      <c r="C22" s="7">
        <v>-8.600000000000052E-3</v>
      </c>
      <c r="D22" s="13">
        <v>63.707887835384305</v>
      </c>
      <c r="E22" s="8">
        <v>63.16</v>
      </c>
      <c r="F22" s="15">
        <v>4.1323968114806042E-2</v>
      </c>
      <c r="G22" s="16">
        <v>-3.5538612578733412E-4</v>
      </c>
      <c r="H22" s="5" t="s">
        <v>26</v>
      </c>
      <c r="I22" s="11"/>
    </row>
    <row r="23" spans="1:9" x14ac:dyDescent="0.25">
      <c r="A23" s="8">
        <v>391.7057590577902</v>
      </c>
      <c r="B23" s="6">
        <v>392.45</v>
      </c>
      <c r="C23" s="7">
        <v>1.9000000000000128E-3</v>
      </c>
      <c r="D23" s="13">
        <v>10.739594769937119</v>
      </c>
      <c r="E23" s="8">
        <v>10.76</v>
      </c>
      <c r="F23" s="15">
        <v>6.9662122998892561E-3</v>
      </c>
      <c r="G23" s="16">
        <v>1.3235803369789676E-5</v>
      </c>
      <c r="H23" s="5" t="s">
        <v>51</v>
      </c>
      <c r="I23" s="11"/>
    </row>
    <row r="24" spans="1:9" x14ac:dyDescent="0.25">
      <c r="A24" s="8">
        <v>29.924585218702866</v>
      </c>
      <c r="B24" s="6">
        <v>29.76</v>
      </c>
      <c r="C24" s="7">
        <v>-5.4999999999999494E-3</v>
      </c>
      <c r="D24" s="13">
        <v>10.04524886877828</v>
      </c>
      <c r="E24" s="8">
        <v>9.99</v>
      </c>
      <c r="F24" s="15">
        <v>6.515826502226733E-3</v>
      </c>
      <c r="G24" s="16">
        <v>-3.5837045762246703E-5</v>
      </c>
      <c r="H24" s="5" t="s">
        <v>7</v>
      </c>
      <c r="I24" s="11"/>
    </row>
    <row r="25" spans="1:9" x14ac:dyDescent="0.25">
      <c r="A25" s="8">
        <v>19.269596199524941</v>
      </c>
      <c r="B25" s="6">
        <v>19.47</v>
      </c>
      <c r="C25" s="7">
        <v>1.0399999999999965E-2</v>
      </c>
      <c r="D25" s="13">
        <v>8.5114806017418836</v>
      </c>
      <c r="E25" s="8">
        <v>8.6</v>
      </c>
      <c r="F25" s="15">
        <v>5.5209514072261665E-3</v>
      </c>
      <c r="G25" s="16">
        <v>5.741789463515194E-5</v>
      </c>
      <c r="H25" s="5" t="s">
        <v>58</v>
      </c>
      <c r="I25" s="11"/>
    </row>
    <row r="26" spans="1:9" x14ac:dyDescent="0.25">
      <c r="A26" s="8">
        <v>58.500895878956804</v>
      </c>
      <c r="B26" s="6">
        <v>58.77</v>
      </c>
      <c r="C26" s="7">
        <v>4.5999999999999375E-3</v>
      </c>
      <c r="D26" s="13">
        <v>9.2773243081823615</v>
      </c>
      <c r="E26" s="8">
        <v>9.32</v>
      </c>
      <c r="F26" s="15">
        <v>6.0177140842065449E-3</v>
      </c>
      <c r="G26" s="16">
        <v>2.7681484787349731E-5</v>
      </c>
      <c r="H26" s="5" t="s">
        <v>55</v>
      </c>
      <c r="I26" s="11"/>
    </row>
    <row r="27" spans="1:9" x14ac:dyDescent="0.25">
      <c r="A27" s="8">
        <v>25.526157546602523</v>
      </c>
      <c r="B27" s="6">
        <v>25.47</v>
      </c>
      <c r="C27" s="7">
        <v>-2.1999999999999797E-3</v>
      </c>
      <c r="D27" s="13">
        <v>18.761274804570053</v>
      </c>
      <c r="E27" s="8">
        <v>18.72</v>
      </c>
      <c r="F27" s="15">
        <v>1.2169455748092769E-2</v>
      </c>
      <c r="G27" s="16">
        <v>-2.6772802645803846E-5</v>
      </c>
      <c r="H27" s="5" t="s">
        <v>41</v>
      </c>
      <c r="I27" s="11"/>
    </row>
    <row r="28" spans="1:9" x14ac:dyDescent="0.25">
      <c r="A28" s="8">
        <v>80.998970133882608</v>
      </c>
      <c r="B28" s="6">
        <v>78.650000000000006</v>
      </c>
      <c r="C28" s="7">
        <v>-2.9000000000000137E-2</v>
      </c>
      <c r="D28" s="13">
        <v>9.1658084449021633</v>
      </c>
      <c r="E28" s="8">
        <v>8.8999999999999986</v>
      </c>
      <c r="F28" s="15">
        <v>5.9453795878817986E-3</v>
      </c>
      <c r="G28" s="16">
        <v>-1.7241600804857298E-4</v>
      </c>
      <c r="H28" s="5" t="s">
        <v>57</v>
      </c>
      <c r="I28" s="11"/>
    </row>
    <row r="29" spans="1:9" x14ac:dyDescent="0.25">
      <c r="A29" s="8">
        <v>7.9310002974125116</v>
      </c>
      <c r="B29" s="6">
        <v>8</v>
      </c>
      <c r="C29" s="7">
        <v>8.69999999999993E-3</v>
      </c>
      <c r="D29" s="13">
        <v>1.4077525527907206</v>
      </c>
      <c r="E29" s="8">
        <v>1.4199999999999997</v>
      </c>
      <c r="F29" s="15">
        <v>9.1313530524472818E-4</v>
      </c>
      <c r="G29" s="16">
        <v>7.9442771556290716E-6</v>
      </c>
      <c r="H29" s="5" t="s">
        <v>108</v>
      </c>
      <c r="I29" s="11"/>
    </row>
    <row r="30" spans="1:9" x14ac:dyDescent="0.25">
      <c r="A30" s="8">
        <v>14.595075645209135</v>
      </c>
      <c r="B30" s="6">
        <v>14.76</v>
      </c>
      <c r="C30" s="7">
        <v>1.1300000000000088E-2</v>
      </c>
      <c r="D30" s="13">
        <v>10.016810046474834</v>
      </c>
      <c r="E30" s="8">
        <v>10.130000000000001</v>
      </c>
      <c r="F30" s="15">
        <v>6.4973797285850319E-3</v>
      </c>
      <c r="G30" s="16">
        <v>7.3420390933011425E-5</v>
      </c>
      <c r="H30" s="5" t="s">
        <v>14</v>
      </c>
      <c r="I30" s="11"/>
    </row>
    <row r="31" spans="1:9" x14ac:dyDescent="0.25">
      <c r="A31" s="8">
        <v>11.124570967090651</v>
      </c>
      <c r="B31" s="6">
        <v>11.02</v>
      </c>
      <c r="C31" s="7">
        <v>-9.3999999999999639E-3</v>
      </c>
      <c r="D31" s="13">
        <v>28.659398344437715</v>
      </c>
      <c r="E31" s="8">
        <v>28.39</v>
      </c>
      <c r="F31" s="15">
        <v>1.8589849759817031E-2</v>
      </c>
      <c r="G31" s="16">
        <v>-1.7474458774227941E-4</v>
      </c>
      <c r="H31" s="5" t="s">
        <v>33</v>
      </c>
      <c r="I31" s="11"/>
    </row>
    <row r="32" spans="1:9" x14ac:dyDescent="0.25">
      <c r="A32" s="8">
        <v>56.132027859089533</v>
      </c>
      <c r="B32" s="6">
        <v>55.61</v>
      </c>
      <c r="C32" s="7">
        <v>-9.299999999999975E-3</v>
      </c>
      <c r="D32" s="13">
        <v>36.136065408297156</v>
      </c>
      <c r="E32" s="8">
        <v>35.799999999999997</v>
      </c>
      <c r="F32" s="15">
        <v>2.3439571856243905E-2</v>
      </c>
      <c r="G32" s="16">
        <v>-2.1798801826306772E-4</v>
      </c>
      <c r="H32" s="5" t="s">
        <v>18</v>
      </c>
      <c r="I32" s="11"/>
    </row>
    <row r="33" spans="1:9" x14ac:dyDescent="0.25">
      <c r="A33" s="8">
        <v>52.231652521218173</v>
      </c>
      <c r="B33" s="6">
        <v>52.31</v>
      </c>
      <c r="C33" s="7">
        <v>1.5000000000000568E-3</v>
      </c>
      <c r="D33" s="13">
        <v>13.359960059910135</v>
      </c>
      <c r="E33" s="8">
        <v>13.38</v>
      </c>
      <c r="F33" s="15">
        <v>8.6659059386390708E-3</v>
      </c>
      <c r="G33" s="16">
        <v>1.2998858907959099E-5</v>
      </c>
      <c r="H33" s="5" t="s">
        <v>46</v>
      </c>
      <c r="I33" s="11"/>
    </row>
    <row r="34" spans="1:9" x14ac:dyDescent="0.25">
      <c r="A34" s="8">
        <v>23.290406309274232</v>
      </c>
      <c r="B34" s="6">
        <v>23.33</v>
      </c>
      <c r="C34" s="7">
        <v>1.7000000000000348E-3</v>
      </c>
      <c r="D34" s="13">
        <v>5.3309374064091042</v>
      </c>
      <c r="E34" s="8">
        <v>5.34</v>
      </c>
      <c r="F34" s="15">
        <v>3.4578997183786916E-3</v>
      </c>
      <c r="G34" s="16">
        <v>5.8784295212438957E-6</v>
      </c>
      <c r="H34" s="5" t="s">
        <v>71</v>
      </c>
      <c r="I34" s="11"/>
    </row>
    <row r="35" spans="1:9" x14ac:dyDescent="0.25">
      <c r="A35" s="8">
        <v>23.474131961618362</v>
      </c>
      <c r="B35" s="6">
        <v>23.73</v>
      </c>
      <c r="C35" s="7">
        <v>1.089999999999991E-2</v>
      </c>
      <c r="D35" s="13">
        <v>43.664061727173809</v>
      </c>
      <c r="E35" s="8">
        <v>44.14</v>
      </c>
      <c r="F35" s="15">
        <v>2.8322588550400478E-2</v>
      </c>
      <c r="G35" s="16">
        <v>3.0871621519936267E-4</v>
      </c>
      <c r="H35" s="5" t="s">
        <v>29</v>
      </c>
      <c r="I35" s="11"/>
    </row>
    <row r="36" spans="1:9" x14ac:dyDescent="0.25">
      <c r="A36" s="8">
        <v>40.608045859351009</v>
      </c>
      <c r="B36" s="6">
        <v>39.67</v>
      </c>
      <c r="C36" s="7">
        <v>-2.3100000000000009E-2</v>
      </c>
      <c r="D36" s="13">
        <v>3.7465451939809604</v>
      </c>
      <c r="E36" s="8">
        <v>3.66</v>
      </c>
      <c r="F36" s="15">
        <v>2.430187523039471E-3</v>
      </c>
      <c r="G36" s="16">
        <v>-5.61373317822118E-5</v>
      </c>
      <c r="H36" s="5" t="s">
        <v>81</v>
      </c>
      <c r="I36" s="11"/>
    </row>
    <row r="37" spans="1:9" x14ac:dyDescent="0.25">
      <c r="A37" s="8">
        <v>80.688355485022811</v>
      </c>
      <c r="B37" s="6">
        <v>81.349999999999994</v>
      </c>
      <c r="C37" s="7">
        <v>8.1999999999999851E-3</v>
      </c>
      <c r="D37" s="13">
        <v>2.1424320571315216</v>
      </c>
      <c r="E37" s="8">
        <v>2.16</v>
      </c>
      <c r="F37" s="15">
        <v>1.3896833975379158E-3</v>
      </c>
      <c r="G37" s="16">
        <v>1.1395403859810889E-5</v>
      </c>
      <c r="H37" s="5" t="s">
        <v>98</v>
      </c>
      <c r="I37" s="11"/>
    </row>
    <row r="38" spans="1:9" x14ac:dyDescent="0.25">
      <c r="A38" s="8">
        <v>88.800813008130078</v>
      </c>
      <c r="B38" s="6">
        <v>87.38</v>
      </c>
      <c r="C38" s="7">
        <v>-1.6000000000000014E-2</v>
      </c>
      <c r="D38" s="13">
        <v>19.105691056910569</v>
      </c>
      <c r="E38" s="8">
        <v>18.8</v>
      </c>
      <c r="F38" s="15">
        <v>1.2392860521246078E-2</v>
      </c>
      <c r="G38" s="16">
        <v>-1.9828576833993741E-4</v>
      </c>
      <c r="H38" s="5" t="s">
        <v>40</v>
      </c>
      <c r="I38" s="11"/>
    </row>
    <row r="39" spans="1:9" x14ac:dyDescent="0.25">
      <c r="A39" s="8">
        <v>79.539106145251409</v>
      </c>
      <c r="B39" s="6">
        <v>79.73</v>
      </c>
      <c r="C39" s="7">
        <v>2.3999999999999577E-3</v>
      </c>
      <c r="D39" s="13">
        <v>3.6113328012769355</v>
      </c>
      <c r="E39" s="8">
        <v>3.62</v>
      </c>
      <c r="F39" s="15">
        <v>2.342482329935826E-3</v>
      </c>
      <c r="G39" s="16">
        <v>5.6219575918458832E-6</v>
      </c>
      <c r="H39" s="5" t="s">
        <v>83</v>
      </c>
      <c r="I39" s="11"/>
    </row>
    <row r="40" spans="1:9" x14ac:dyDescent="0.25">
      <c r="A40" s="8">
        <v>55.599154844551762</v>
      </c>
      <c r="B40" s="6">
        <v>55.26</v>
      </c>
      <c r="C40" s="7">
        <v>-6.0999999999999943E-3</v>
      </c>
      <c r="D40" s="13">
        <v>3.8434450145889927</v>
      </c>
      <c r="E40" s="8">
        <v>3.82</v>
      </c>
      <c r="F40" s="15">
        <v>2.4930413584622287E-3</v>
      </c>
      <c r="G40" s="16">
        <v>-1.5207552286619582E-5</v>
      </c>
      <c r="H40" s="5" t="s">
        <v>6</v>
      </c>
      <c r="I40" s="11"/>
    </row>
    <row r="41" spans="1:9" x14ac:dyDescent="0.25">
      <c r="A41" s="8">
        <v>191.14588491631176</v>
      </c>
      <c r="B41" s="6">
        <v>193</v>
      </c>
      <c r="C41" s="7">
        <v>9.7000000000000419E-3</v>
      </c>
      <c r="D41" s="13">
        <v>2.8820441715361</v>
      </c>
      <c r="E41" s="8">
        <v>2.91</v>
      </c>
      <c r="F41" s="15">
        <v>1.8694310154773626E-3</v>
      </c>
      <c r="G41" s="16">
        <v>1.8133480850130496E-5</v>
      </c>
      <c r="H41" s="5" t="s">
        <v>20</v>
      </c>
      <c r="I41" s="11"/>
    </row>
    <row r="42" spans="1:9" x14ac:dyDescent="0.25">
      <c r="A42" s="8">
        <v>26.255209366937883</v>
      </c>
      <c r="B42" s="6">
        <v>26.46</v>
      </c>
      <c r="C42" s="7">
        <v>7.8000000000000291E-3</v>
      </c>
      <c r="D42" s="13">
        <v>5.77495534828339</v>
      </c>
      <c r="E42" s="8">
        <v>5.82</v>
      </c>
      <c r="F42" s="15">
        <v>3.745910887730687E-3</v>
      </c>
      <c r="G42" s="16">
        <v>2.9218104924299467E-5</v>
      </c>
      <c r="H42" s="5" t="s">
        <v>68</v>
      </c>
      <c r="I42" s="11"/>
    </row>
    <row r="43" spans="1:9" x14ac:dyDescent="0.25">
      <c r="A43" s="8">
        <v>29.103956942091095</v>
      </c>
      <c r="B43" s="6">
        <v>29.2</v>
      </c>
      <c r="C43" s="7">
        <v>3.3000000000000806E-3</v>
      </c>
      <c r="D43" s="13">
        <v>3.6080932921359512</v>
      </c>
      <c r="E43" s="8">
        <v>3.62</v>
      </c>
      <c r="F43" s="15">
        <v>2.3403810301282483E-3</v>
      </c>
      <c r="G43" s="16">
        <v>7.7232573994234076E-6</v>
      </c>
      <c r="H43" s="5" t="s">
        <v>82</v>
      </c>
      <c r="I43" s="11"/>
    </row>
    <row r="44" spans="1:9" x14ac:dyDescent="0.25">
      <c r="A44" s="8">
        <v>75.330132052821128</v>
      </c>
      <c r="B44" s="6">
        <v>75.3</v>
      </c>
      <c r="C44" s="7">
        <v>-4.0000000000006697E-4</v>
      </c>
      <c r="D44" s="13">
        <v>4.7218887555022002</v>
      </c>
      <c r="E44" s="8">
        <v>4.7199999999999989</v>
      </c>
      <c r="F44" s="15">
        <v>3.0628417768020491E-3</v>
      </c>
      <c r="G44" s="16">
        <v>-1.2251367107210248E-6</v>
      </c>
      <c r="H44" s="5" t="s">
        <v>75</v>
      </c>
      <c r="I44" s="11"/>
    </row>
    <row r="45" spans="1:9" x14ac:dyDescent="0.25">
      <c r="A45" s="8">
        <v>3.7898801056695794</v>
      </c>
      <c r="B45" s="6">
        <v>3.73</v>
      </c>
      <c r="C45" s="7">
        <v>-1.5800000000000036E-2</v>
      </c>
      <c r="D45" s="13">
        <v>0.32505588295061982</v>
      </c>
      <c r="E45" s="8">
        <v>0.31992000000000004</v>
      </c>
      <c r="F45" s="15">
        <v>2.1084671614432138E-4</v>
      </c>
      <c r="G45" s="16">
        <v>-3.3313781150802855E-6</v>
      </c>
      <c r="H45" s="5" t="s">
        <v>119</v>
      </c>
      <c r="I45" s="11"/>
    </row>
    <row r="46" spans="1:9" x14ac:dyDescent="0.25">
      <c r="A46" s="8">
        <v>19.290245836637592</v>
      </c>
      <c r="B46" s="6">
        <v>19.46</v>
      </c>
      <c r="C46" s="7">
        <v>8.799999999999919E-3</v>
      </c>
      <c r="D46" s="13">
        <v>46.530531324345759</v>
      </c>
      <c r="E46" s="8">
        <v>46.94</v>
      </c>
      <c r="F46" s="15">
        <v>3.0181917155700802E-2</v>
      </c>
      <c r="G46" s="16">
        <v>2.6560087097016459E-4</v>
      </c>
      <c r="H46" s="5" t="s">
        <v>27</v>
      </c>
      <c r="I46" s="11"/>
    </row>
    <row r="47" spans="1:9" x14ac:dyDescent="0.25">
      <c r="A47" s="8">
        <v>108.25412706353177</v>
      </c>
      <c r="B47" s="6">
        <v>108.2</v>
      </c>
      <c r="C47" s="7">
        <v>-4.9999999999994493E-4</v>
      </c>
      <c r="D47" s="13">
        <v>6.8234117058529264</v>
      </c>
      <c r="E47" s="8">
        <v>6.82</v>
      </c>
      <c r="F47" s="15">
        <v>4.4259895806850165E-3</v>
      </c>
      <c r="G47" s="16">
        <v>-2.2129947903422646E-6</v>
      </c>
      <c r="H47" s="5" t="s">
        <v>64</v>
      </c>
      <c r="I47" s="11"/>
    </row>
    <row r="48" spans="1:9" x14ac:dyDescent="0.25">
      <c r="A48" s="8">
        <v>67.060662303409202</v>
      </c>
      <c r="B48" s="6">
        <v>68.650000000000006</v>
      </c>
      <c r="C48" s="7">
        <v>2.3700000000000054E-2</v>
      </c>
      <c r="D48" s="13">
        <v>5.9001660642766431</v>
      </c>
      <c r="E48" s="8">
        <v>6.04</v>
      </c>
      <c r="F48" s="15">
        <v>3.8271285173075288E-3</v>
      </c>
      <c r="G48" s="16">
        <v>9.0702945860188634E-5</v>
      </c>
      <c r="H48" s="5" t="s">
        <v>66</v>
      </c>
      <c r="I48" s="11"/>
    </row>
    <row r="49" spans="1:9" x14ac:dyDescent="0.25">
      <c r="A49" s="8">
        <v>36.280275092195751</v>
      </c>
      <c r="B49" s="6">
        <v>36.4</v>
      </c>
      <c r="C49" s="7">
        <v>3.3000000000000806E-3</v>
      </c>
      <c r="D49" s="13">
        <v>0.84802152895445027</v>
      </c>
      <c r="E49" s="8">
        <v>0.85082000000000002</v>
      </c>
      <c r="F49" s="15">
        <v>5.5006712377174481E-4</v>
      </c>
      <c r="G49" s="16">
        <v>1.8152215084468021E-6</v>
      </c>
      <c r="H49" s="5" t="s">
        <v>115</v>
      </c>
      <c r="I49" s="11"/>
    </row>
    <row r="50" spans="1:9" x14ac:dyDescent="0.25">
      <c r="A50" s="8">
        <v>10.524725551415045</v>
      </c>
      <c r="B50" s="6">
        <v>10.45</v>
      </c>
      <c r="C50" s="7">
        <v>-7.0999999999998842E-3</v>
      </c>
      <c r="D50" s="13">
        <v>5.7810454224997487</v>
      </c>
      <c r="E50" s="8">
        <v>5.7400000000000011</v>
      </c>
      <c r="F50" s="15">
        <v>3.7498611997137791E-3</v>
      </c>
      <c r="G50" s="16">
        <v>-2.6624014517967396E-5</v>
      </c>
      <c r="H50" s="5" t="s">
        <v>70</v>
      </c>
      <c r="I50" s="11"/>
    </row>
    <row r="51" spans="1:9" x14ac:dyDescent="0.25">
      <c r="A51" s="8">
        <v>41.921397379912662</v>
      </c>
      <c r="B51" s="6">
        <v>42.24</v>
      </c>
      <c r="C51" s="7">
        <v>7.6000000000000512E-3</v>
      </c>
      <c r="D51" s="13">
        <v>1.5581579992060341</v>
      </c>
      <c r="E51" s="8">
        <v>1.57</v>
      </c>
      <c r="F51" s="15">
        <v>1.0106954360721621E-3</v>
      </c>
      <c r="G51" s="16">
        <v>7.6812853141484835E-6</v>
      </c>
      <c r="H51" s="5" t="s">
        <v>105</v>
      </c>
      <c r="I51" s="11"/>
    </row>
    <row r="52" spans="1:9" x14ac:dyDescent="0.25">
      <c r="A52" s="8">
        <v>6.7520256076823042</v>
      </c>
      <c r="B52" s="6">
        <v>6.75</v>
      </c>
      <c r="C52" s="7">
        <v>-2.9999999999996696E-4</v>
      </c>
      <c r="D52" s="13">
        <v>2.7908372511753528</v>
      </c>
      <c r="E52" s="8">
        <v>2.79</v>
      </c>
      <c r="F52" s="15">
        <v>1.81026986609856E-3</v>
      </c>
      <c r="G52" s="16">
        <v>-5.4308095982950815E-7</v>
      </c>
      <c r="H52" s="5" t="s">
        <v>92</v>
      </c>
      <c r="I52" s="11"/>
    </row>
    <row r="53" spans="1:9" x14ac:dyDescent="0.25">
      <c r="A53" s="8">
        <v>262.30408305880002</v>
      </c>
      <c r="B53" s="6">
        <v>262.75</v>
      </c>
      <c r="C53" s="7">
        <v>1.7000000000000348E-3</v>
      </c>
      <c r="D53" s="13">
        <v>27.692922032544672</v>
      </c>
      <c r="E53" s="8">
        <v>27.74</v>
      </c>
      <c r="F53" s="15">
        <v>1.7962947226184439E-2</v>
      </c>
      <c r="G53" s="16">
        <v>3.0537010284514169E-5</v>
      </c>
      <c r="H53" s="5" t="s">
        <v>15</v>
      </c>
      <c r="I53" s="11"/>
    </row>
    <row r="54" spans="1:9" x14ac:dyDescent="0.25">
      <c r="A54" s="8">
        <v>63.579750903977498</v>
      </c>
      <c r="B54" s="6">
        <v>63.3</v>
      </c>
      <c r="C54" s="7">
        <v>-4.3999999999999595E-3</v>
      </c>
      <c r="D54" s="13">
        <v>4.7006830052229809</v>
      </c>
      <c r="E54" s="8">
        <v>4.68</v>
      </c>
      <c r="F54" s="15">
        <v>3.0490867179205918E-3</v>
      </c>
      <c r="G54" s="16">
        <v>-1.341598155885048E-5</v>
      </c>
      <c r="H54" s="5" t="s">
        <v>76</v>
      </c>
      <c r="I54" s="11"/>
    </row>
    <row r="55" spans="1:9" x14ac:dyDescent="0.25">
      <c r="A55" s="8">
        <v>195.99120263920827</v>
      </c>
      <c r="B55" s="6">
        <v>196.05</v>
      </c>
      <c r="C55" s="7">
        <v>2.9999999999996696E-4</v>
      </c>
      <c r="D55" s="13">
        <v>11.386584024792564</v>
      </c>
      <c r="E55" s="8">
        <v>11.39</v>
      </c>
      <c r="F55" s="15">
        <v>7.3858803229031799E-3</v>
      </c>
      <c r="G55" s="16">
        <v>2.2157640968707099E-6</v>
      </c>
      <c r="H55" s="5" t="s">
        <v>49</v>
      </c>
      <c r="I55" s="11"/>
    </row>
    <row r="56" spans="1:9" x14ac:dyDescent="0.25">
      <c r="A56" s="8">
        <v>60.197861496952143</v>
      </c>
      <c r="B56" s="6">
        <v>60.24</v>
      </c>
      <c r="C56" s="7">
        <v>6.9999999999992291E-4</v>
      </c>
      <c r="D56" s="13">
        <v>4.5867892475267311</v>
      </c>
      <c r="E56" s="8">
        <v>4.59</v>
      </c>
      <c r="F56" s="15">
        <v>2.9752098061058951E-3</v>
      </c>
      <c r="G56" s="16">
        <v>2.0826468642738974E-6</v>
      </c>
      <c r="H56" s="5" t="s">
        <v>22</v>
      </c>
      <c r="I56" s="11"/>
    </row>
    <row r="57" spans="1:9" x14ac:dyDescent="0.25">
      <c r="A57" s="8">
        <v>84.817488969113512</v>
      </c>
      <c r="B57" s="6">
        <v>84.58</v>
      </c>
      <c r="C57" s="7">
        <v>-2.7999999999999137E-3</v>
      </c>
      <c r="D57" s="13">
        <v>4.7733654231849174</v>
      </c>
      <c r="E57" s="8">
        <v>4.76</v>
      </c>
      <c r="F57" s="15">
        <v>3.0962319934024428E-3</v>
      </c>
      <c r="G57" s="16">
        <v>-8.669449581526573E-6</v>
      </c>
      <c r="H57" s="5" t="s">
        <v>74</v>
      </c>
      <c r="I57" s="11"/>
    </row>
    <row r="58" spans="1:9" x14ac:dyDescent="0.25">
      <c r="A58" s="8">
        <v>42.123804730749875</v>
      </c>
      <c r="B58" s="6">
        <v>41.85</v>
      </c>
      <c r="C58" s="7">
        <v>-6.4999999999999503E-3</v>
      </c>
      <c r="D58" s="13">
        <v>3.4927025666834424</v>
      </c>
      <c r="E58" s="8">
        <v>3.47</v>
      </c>
      <c r="F58" s="15">
        <v>2.265533113781297E-3</v>
      </c>
      <c r="G58" s="16">
        <v>-1.4725965239578318E-5</v>
      </c>
      <c r="H58" s="5" t="s">
        <v>84</v>
      </c>
      <c r="I58" s="11"/>
    </row>
    <row r="59" spans="1:9" x14ac:dyDescent="0.25">
      <c r="A59" s="8">
        <v>22.81953376205788</v>
      </c>
      <c r="B59" s="6">
        <v>22.71</v>
      </c>
      <c r="C59" s="7">
        <v>-4.8000000000000265E-3</v>
      </c>
      <c r="D59" s="13">
        <v>1.034967845659164</v>
      </c>
      <c r="E59" s="8">
        <v>1.03</v>
      </c>
      <c r="F59" s="15">
        <v>6.7132940216728192E-4</v>
      </c>
      <c r="G59" s="16">
        <v>-3.2223811304029711E-6</v>
      </c>
      <c r="H59" s="5" t="s">
        <v>113</v>
      </c>
      <c r="I59" s="11"/>
    </row>
    <row r="60" spans="1:9" x14ac:dyDescent="0.25">
      <c r="A60" s="8">
        <v>26.954232482786555</v>
      </c>
      <c r="B60" s="6">
        <v>26.62</v>
      </c>
      <c r="C60" s="7">
        <v>-1.2400000000000078E-2</v>
      </c>
      <c r="D60" s="13">
        <v>6.0247063588497367</v>
      </c>
      <c r="E60" s="8">
        <v>5.9499999999999993</v>
      </c>
      <c r="F60" s="15">
        <v>3.9079112796437275E-3</v>
      </c>
      <c r="G60" s="16">
        <v>-4.8458099867582522E-5</v>
      </c>
      <c r="H60" s="5" t="s">
        <v>67</v>
      </c>
      <c r="I60" s="11"/>
    </row>
    <row r="61" spans="1:9" x14ac:dyDescent="0.25">
      <c r="A61" s="8">
        <v>162.79649192744665</v>
      </c>
      <c r="B61" s="6">
        <v>163.35</v>
      </c>
      <c r="C61" s="7">
        <v>3.4000000000000696E-3</v>
      </c>
      <c r="D61" s="13">
        <v>20.550129559497709</v>
      </c>
      <c r="E61" s="8">
        <v>20.62</v>
      </c>
      <c r="F61" s="15">
        <v>1.3329792079531964E-2</v>
      </c>
      <c r="G61" s="16">
        <v>4.532129307040961E-5</v>
      </c>
      <c r="H61" s="5" t="s">
        <v>37</v>
      </c>
      <c r="I61" s="11"/>
    </row>
    <row r="62" spans="1:9" x14ac:dyDescent="0.25">
      <c r="A62" s="8">
        <v>35.175175175175177</v>
      </c>
      <c r="B62" s="6">
        <v>35.14</v>
      </c>
      <c r="C62" s="7">
        <v>-1.0000000000000009E-3</v>
      </c>
      <c r="D62" s="13">
        <v>7.0170170170170172</v>
      </c>
      <c r="E62" s="8">
        <v>7.01</v>
      </c>
      <c r="F62" s="15">
        <v>4.5515711998100252E-3</v>
      </c>
      <c r="G62" s="16">
        <v>-4.5515711998100295E-6</v>
      </c>
      <c r="H62" s="5" t="s">
        <v>21</v>
      </c>
      <c r="I62" s="11"/>
    </row>
    <row r="63" spans="1:9" x14ac:dyDescent="0.25">
      <c r="A63" s="8">
        <v>29.349894821196035</v>
      </c>
      <c r="B63" s="6">
        <v>29.3</v>
      </c>
      <c r="C63" s="7">
        <v>-1.7000000000000348E-3</v>
      </c>
      <c r="D63" s="13">
        <v>2.3239507162175697</v>
      </c>
      <c r="E63" s="8">
        <v>2.3199999999999998</v>
      </c>
      <c r="F63" s="15">
        <v>1.5074250388821765E-3</v>
      </c>
      <c r="G63" s="16">
        <v>-2.5626225660997527E-6</v>
      </c>
      <c r="H63" s="5" t="s">
        <v>95</v>
      </c>
      <c r="I63" s="11"/>
    </row>
    <row r="64" spans="1:9" x14ac:dyDescent="0.25">
      <c r="A64" s="8">
        <v>58.489795918367349</v>
      </c>
      <c r="B64" s="6">
        <v>57.32</v>
      </c>
      <c r="C64" s="7">
        <v>-2.0000000000000018E-2</v>
      </c>
      <c r="D64" s="13">
        <v>16.80612244897959</v>
      </c>
      <c r="E64" s="8">
        <v>16.47</v>
      </c>
      <c r="F64" s="15">
        <v>1.0901250878222107E-2</v>
      </c>
      <c r="G64" s="16">
        <v>-2.1802501756444233E-4</v>
      </c>
      <c r="H64" s="5" t="s">
        <v>44</v>
      </c>
      <c r="I64" s="11"/>
    </row>
    <row r="65" spans="1:9" x14ac:dyDescent="0.25">
      <c r="A65" s="8">
        <v>22.364344958529031</v>
      </c>
      <c r="B65" s="6">
        <v>22.38</v>
      </c>
      <c r="C65" s="7">
        <v>6.9999999999992291E-4</v>
      </c>
      <c r="D65" s="13">
        <v>2.9279504346957133</v>
      </c>
      <c r="E65" s="8">
        <v>2.93</v>
      </c>
      <c r="F65" s="15">
        <v>1.8992080025904735E-3</v>
      </c>
      <c r="G65" s="16">
        <v>1.3294456018131849E-6</v>
      </c>
      <c r="H65" s="5" t="s">
        <v>90</v>
      </c>
      <c r="I65" s="11"/>
    </row>
    <row r="66" spans="1:9" x14ac:dyDescent="0.25">
      <c r="A66" s="8">
        <v>42.548880559213863</v>
      </c>
      <c r="B66" s="6">
        <v>42</v>
      </c>
      <c r="C66" s="7">
        <v>-1.2900000000000134E-2</v>
      </c>
      <c r="D66" s="13">
        <v>11.265322662344239</v>
      </c>
      <c r="E66" s="8">
        <v>11.119999999999997</v>
      </c>
      <c r="F66" s="15">
        <v>7.3072244319981085E-3</v>
      </c>
      <c r="G66" s="16">
        <v>-9.426319517277657E-5</v>
      </c>
      <c r="H66" s="5" t="s">
        <v>50</v>
      </c>
      <c r="I66" s="11"/>
    </row>
    <row r="67" spans="1:9" x14ac:dyDescent="0.25">
      <c r="A67" s="8">
        <v>134.80392156862746</v>
      </c>
      <c r="B67" s="6">
        <v>134.75</v>
      </c>
      <c r="C67" s="7">
        <v>-4.0000000000006697E-4</v>
      </c>
      <c r="D67" s="13">
        <v>75.300120048019195</v>
      </c>
      <c r="E67" s="8">
        <v>75.269999999999982</v>
      </c>
      <c r="F67" s="15">
        <v>4.8843241639807251E-2</v>
      </c>
      <c r="G67" s="16">
        <v>-1.9537296655926172E-5</v>
      </c>
      <c r="H67" s="5" t="s">
        <v>0</v>
      </c>
      <c r="I67" s="11"/>
    </row>
    <row r="68" spans="1:9" x14ac:dyDescent="0.25">
      <c r="A68" s="8">
        <v>143.79841062267377</v>
      </c>
      <c r="B68" s="6">
        <v>142.94999999999999</v>
      </c>
      <c r="C68" s="7">
        <v>-5.9000000000000163E-3</v>
      </c>
      <c r="D68" s="13">
        <v>73.00070415451161</v>
      </c>
      <c r="E68" s="8">
        <v>72.569999999999993</v>
      </c>
      <c r="F68" s="15">
        <v>4.7351731054626471E-2</v>
      </c>
      <c r="G68" s="16">
        <v>-2.7937521322229697E-4</v>
      </c>
      <c r="H68" s="5" t="s">
        <v>25</v>
      </c>
      <c r="I68" s="11"/>
    </row>
    <row r="69" spans="1:9" x14ac:dyDescent="0.25">
      <c r="A69" s="8">
        <v>15.224534501642935</v>
      </c>
      <c r="B69" s="6">
        <v>15.29</v>
      </c>
      <c r="C69" s="7">
        <v>4.2999999999999705E-3</v>
      </c>
      <c r="D69" s="13">
        <v>1.9217365329084934</v>
      </c>
      <c r="E69" s="9">
        <v>1.93</v>
      </c>
      <c r="F69" s="15">
        <v>1.2465297769118774E-3</v>
      </c>
      <c r="G69" s="16">
        <v>5.3600780407210365E-6</v>
      </c>
      <c r="H69" s="5" t="s">
        <v>101</v>
      </c>
      <c r="I69" s="11"/>
    </row>
    <row r="70" spans="1:9" x14ac:dyDescent="0.25">
      <c r="A70" s="8">
        <v>8.622974212618491</v>
      </c>
      <c r="B70" s="6">
        <v>8.4600000000000009</v>
      </c>
      <c r="C70" s="7">
        <v>-1.8900000000000028E-2</v>
      </c>
      <c r="D70" s="13">
        <v>1.0498420140658444</v>
      </c>
      <c r="E70" s="8">
        <v>1.03</v>
      </c>
      <c r="F70" s="15">
        <v>6.8097749570571696E-4</v>
      </c>
      <c r="G70" s="16">
        <v>-1.287047466883807E-5</v>
      </c>
      <c r="H70" s="5" t="s">
        <v>114</v>
      </c>
      <c r="I70" s="11"/>
    </row>
    <row r="71" spans="1:9" x14ac:dyDescent="0.25">
      <c r="A71" s="8">
        <v>18.105709098244905</v>
      </c>
      <c r="B71" s="6">
        <v>17.95</v>
      </c>
      <c r="C71" s="7">
        <v>-8.599999999999941E-3</v>
      </c>
      <c r="D71" s="13">
        <v>1.6643130925963283</v>
      </c>
      <c r="E71" s="9">
        <v>1.65</v>
      </c>
      <c r="F71" s="15">
        <v>1.0795526819099108E-3</v>
      </c>
      <c r="G71" s="16">
        <v>-9.2841530644251699E-6</v>
      </c>
      <c r="H71" s="5" t="s">
        <v>102</v>
      </c>
      <c r="I71" s="11"/>
    </row>
    <row r="72" spans="1:9" x14ac:dyDescent="0.25">
      <c r="A72" s="8">
        <v>74.697590722783161</v>
      </c>
      <c r="B72" s="6">
        <v>74.72</v>
      </c>
      <c r="C72" s="7">
        <v>2.9999999999996696E-4</v>
      </c>
      <c r="D72" s="13">
        <v>13.855843247025891</v>
      </c>
      <c r="E72" s="8">
        <v>13.86</v>
      </c>
      <c r="F72" s="15">
        <v>8.9875593744897318E-3</v>
      </c>
      <c r="G72" s="16">
        <v>2.6962678123466224E-6</v>
      </c>
      <c r="H72" s="5" t="s">
        <v>45</v>
      </c>
      <c r="I72" s="11"/>
    </row>
    <row r="73" spans="1:9" x14ac:dyDescent="0.25">
      <c r="A73" s="8">
        <v>64.50093237805477</v>
      </c>
      <c r="B73" s="6">
        <v>65.72</v>
      </c>
      <c r="C73" s="7">
        <v>1.8899999999999917E-2</v>
      </c>
      <c r="D73" s="13">
        <v>0.69549514181960936</v>
      </c>
      <c r="E73" s="8">
        <v>0.70863999999999994</v>
      </c>
      <c r="F73" s="15">
        <v>4.5113124985118533E-4</v>
      </c>
      <c r="G73" s="16">
        <v>8.5263806221873658E-6</v>
      </c>
      <c r="H73" s="5" t="s">
        <v>116</v>
      </c>
      <c r="I73" s="11"/>
    </row>
    <row r="74" spans="1:9" x14ac:dyDescent="0.25">
      <c r="A74" s="8">
        <v>5.514816675037669</v>
      </c>
      <c r="B74" s="6">
        <v>5.49</v>
      </c>
      <c r="C74" s="7">
        <v>-4.4999999999998375E-3</v>
      </c>
      <c r="D74" s="13">
        <v>17.197388247112006</v>
      </c>
      <c r="E74" s="8">
        <v>17.120000000000005</v>
      </c>
      <c r="F74" s="15">
        <v>1.1155044496497705E-2</v>
      </c>
      <c r="G74" s="16">
        <v>-5.0197700234237863E-5</v>
      </c>
      <c r="H74" s="5" t="s">
        <v>42</v>
      </c>
      <c r="I74" s="11"/>
    </row>
    <row r="75" spans="1:9" x14ac:dyDescent="0.25">
      <c r="A75" s="8">
        <v>56.41922269957039</v>
      </c>
      <c r="B75" s="6">
        <v>56.47</v>
      </c>
      <c r="C75" s="7">
        <v>8.9999999999990088E-4</v>
      </c>
      <c r="D75" s="13">
        <v>1.9482465780797285</v>
      </c>
      <c r="E75" s="9">
        <v>1.95</v>
      </c>
      <c r="F75" s="15">
        <v>1.2637254539088743E-3</v>
      </c>
      <c r="G75" s="16">
        <v>1.1373529085178615E-6</v>
      </c>
      <c r="H75" s="5" t="s">
        <v>100</v>
      </c>
      <c r="I75" s="11"/>
    </row>
    <row r="76" spans="1:9" x14ac:dyDescent="0.25">
      <c r="A76" s="8">
        <v>27.089567125473771</v>
      </c>
      <c r="B76" s="6">
        <v>27.16</v>
      </c>
      <c r="C76" s="7">
        <v>2.5999999999999357E-3</v>
      </c>
      <c r="D76" s="13">
        <v>1.1370436864153202</v>
      </c>
      <c r="E76" s="8">
        <v>1.1399999999999999</v>
      </c>
      <c r="F76" s="15">
        <v>7.3754065060168035E-4</v>
      </c>
      <c r="G76" s="16">
        <v>1.9176056915643214E-6</v>
      </c>
      <c r="H76" s="5" t="s">
        <v>112</v>
      </c>
      <c r="I76" s="11"/>
    </row>
    <row r="77" spans="1:9" x14ac:dyDescent="0.25">
      <c r="A77" s="8">
        <v>28.994677111579794</v>
      </c>
      <c r="B77" s="6">
        <v>28.87</v>
      </c>
      <c r="C77" s="7">
        <v>-4.2999999999999705E-3</v>
      </c>
      <c r="D77" s="13">
        <v>1.5667369689665562</v>
      </c>
      <c r="E77" s="8">
        <v>1.56</v>
      </c>
      <c r="F77" s="15">
        <v>1.0162601641598009E-3</v>
      </c>
      <c r="G77" s="16">
        <v>-4.3699187058871144E-6</v>
      </c>
      <c r="H77" s="5" t="s">
        <v>9</v>
      </c>
      <c r="I77" s="11"/>
    </row>
    <row r="78" spans="1:9" x14ac:dyDescent="0.25">
      <c r="A78" s="8">
        <v>33.115856069592724</v>
      </c>
      <c r="B78" s="6">
        <v>33.5</v>
      </c>
      <c r="C78" s="7">
        <v>1.1600000000000055E-2</v>
      </c>
      <c r="D78" s="13">
        <v>12.900355871886122</v>
      </c>
      <c r="E78" s="8">
        <v>13.05</v>
      </c>
      <c r="F78" s="15">
        <v>8.3677847882344131E-3</v>
      </c>
      <c r="G78" s="16">
        <v>9.7066303543519647E-5</v>
      </c>
      <c r="H78" s="5" t="s">
        <v>47</v>
      </c>
      <c r="I78" s="11"/>
    </row>
    <row r="79" spans="1:9" x14ac:dyDescent="0.25">
      <c r="A79" s="8">
        <v>13.830542871638762</v>
      </c>
      <c r="B79" s="6">
        <v>13.63</v>
      </c>
      <c r="C79" s="7">
        <v>-1.4499999999999957E-2</v>
      </c>
      <c r="D79" s="13">
        <v>36.631151699644853</v>
      </c>
      <c r="E79" s="8">
        <v>36.1</v>
      </c>
      <c r="F79" s="15">
        <v>2.3760708387572552E-2</v>
      </c>
      <c r="G79" s="16">
        <v>-3.4453027161980099E-4</v>
      </c>
      <c r="H79" s="5" t="s">
        <v>31</v>
      </c>
      <c r="I79" s="11"/>
    </row>
    <row r="80" spans="1:9" x14ac:dyDescent="0.25">
      <c r="A80" s="8">
        <v>50.467665694458418</v>
      </c>
      <c r="B80" s="6">
        <v>50.18</v>
      </c>
      <c r="C80" s="7">
        <v>-5.7000000000001494E-3</v>
      </c>
      <c r="D80" s="13">
        <v>2.805994166750478</v>
      </c>
      <c r="E80" s="8">
        <v>2.79</v>
      </c>
      <c r="F80" s="15">
        <v>1.820101362907302E-3</v>
      </c>
      <c r="G80" s="16">
        <v>-1.0374577768571893E-5</v>
      </c>
      <c r="H80" s="5" t="s">
        <v>93</v>
      </c>
      <c r="I80" s="11"/>
    </row>
    <row r="81" spans="1:9" x14ac:dyDescent="0.25">
      <c r="A81" s="8">
        <v>93.386773547094194</v>
      </c>
      <c r="B81" s="6">
        <v>93.2</v>
      </c>
      <c r="C81" s="7">
        <v>-2.0000000000000018E-3</v>
      </c>
      <c r="D81" s="13">
        <v>24.789579158316631</v>
      </c>
      <c r="E81" s="8">
        <v>24.74</v>
      </c>
      <c r="F81" s="15">
        <v>1.6079700858466821E-2</v>
      </c>
      <c r="G81" s="16">
        <v>-3.2159401716933672E-5</v>
      </c>
      <c r="H81" s="5" t="s">
        <v>35</v>
      </c>
      <c r="I81" s="11"/>
    </row>
    <row r="82" spans="1:9" x14ac:dyDescent="0.25">
      <c r="A82" s="8">
        <v>10.090180360721444</v>
      </c>
      <c r="B82" s="6">
        <v>10.07</v>
      </c>
      <c r="C82" s="7">
        <v>-2.0000000000001128E-3</v>
      </c>
      <c r="D82" s="13">
        <v>7.895791583166333</v>
      </c>
      <c r="E82" s="8">
        <v>7.879999999999999</v>
      </c>
      <c r="F82" s="15">
        <v>5.1215862071430302E-3</v>
      </c>
      <c r="G82" s="16">
        <v>-1.0243172414286637E-5</v>
      </c>
      <c r="H82" s="5" t="s">
        <v>11</v>
      </c>
      <c r="I82" s="11"/>
    </row>
    <row r="83" spans="1:9" x14ac:dyDescent="0.25">
      <c r="A83" s="8">
        <v>20.599175630843469</v>
      </c>
      <c r="B83" s="6">
        <v>20.49</v>
      </c>
      <c r="C83" s="7">
        <v>-5.2999999999999714E-3</v>
      </c>
      <c r="D83" s="13">
        <v>3.1667839549612946</v>
      </c>
      <c r="E83" s="8">
        <v>3.15</v>
      </c>
      <c r="F83" s="15">
        <v>2.0541267906957054E-3</v>
      </c>
      <c r="G83" s="16">
        <v>-1.088687199068718E-5</v>
      </c>
      <c r="H83" s="5" t="s">
        <v>89</v>
      </c>
      <c r="I83" s="11"/>
    </row>
    <row r="84" spans="1:9" x14ac:dyDescent="0.25">
      <c r="A84" s="8">
        <v>58.350972684205225</v>
      </c>
      <c r="B84" s="6">
        <v>57.89</v>
      </c>
      <c r="C84" s="7">
        <v>-7.9000000000000181E-3</v>
      </c>
      <c r="D84" s="13">
        <v>12.891845580082652</v>
      </c>
      <c r="E84" s="8">
        <v>12.79</v>
      </c>
      <c r="F84" s="15">
        <v>8.3622646079383259E-3</v>
      </c>
      <c r="G84" s="16">
        <v>-6.6061890402712922E-5</v>
      </c>
      <c r="H84" s="5" t="s">
        <v>48</v>
      </c>
      <c r="I84" s="11"/>
    </row>
    <row r="85" spans="1:9" x14ac:dyDescent="0.25">
      <c r="A85" s="8">
        <v>58.347470312344079</v>
      </c>
      <c r="B85" s="6">
        <v>58.47</v>
      </c>
      <c r="C85" s="7">
        <v>2.0999999999999908E-3</v>
      </c>
      <c r="D85" s="13">
        <v>2.8440275421614611</v>
      </c>
      <c r="E85" s="8">
        <v>2.85</v>
      </c>
      <c r="F85" s="15">
        <v>1.8447716203304179E-3</v>
      </c>
      <c r="G85" s="16">
        <v>3.8740204026938604E-6</v>
      </c>
      <c r="H85" s="5" t="s">
        <v>91</v>
      </c>
      <c r="I85" s="11"/>
    </row>
    <row r="86" spans="1:9" x14ac:dyDescent="0.25">
      <c r="A86" s="8">
        <v>64.019627478469857</v>
      </c>
      <c r="B86" s="6">
        <v>63.93</v>
      </c>
      <c r="C86" s="7">
        <v>-1.3999999999999568E-3</v>
      </c>
      <c r="D86" s="13">
        <v>18.936511115561785</v>
      </c>
      <c r="E86" s="8">
        <v>18.91</v>
      </c>
      <c r="F86" s="15">
        <v>1.2283122359465758E-2</v>
      </c>
      <c r="G86" s="16">
        <v>-1.7196371303251532E-5</v>
      </c>
      <c r="H86" s="5" t="s">
        <v>39</v>
      </c>
      <c r="I86" s="11"/>
    </row>
    <row r="87" spans="1:9" x14ac:dyDescent="0.25">
      <c r="A87" s="8">
        <v>14.645058659773316</v>
      </c>
      <c r="B87" s="6">
        <v>14.73</v>
      </c>
      <c r="C87" s="7">
        <v>5.8000000000000274E-3</v>
      </c>
      <c r="D87" s="13">
        <v>4.2752038178564327</v>
      </c>
      <c r="E87" s="8">
        <v>4.3</v>
      </c>
      <c r="F87" s="15">
        <v>2.773100667061702E-3</v>
      </c>
      <c r="G87" s="16">
        <v>1.6083983868957949E-5</v>
      </c>
      <c r="H87" s="5" t="s">
        <v>78</v>
      </c>
      <c r="I87" s="11"/>
    </row>
    <row r="88" spans="1:9" x14ac:dyDescent="0.25">
      <c r="A88" s="8">
        <v>47.605746209098164</v>
      </c>
      <c r="B88" s="6">
        <v>47.72</v>
      </c>
      <c r="C88" s="7">
        <v>2.3999999999999577E-3</v>
      </c>
      <c r="D88" s="13">
        <v>1.8455706304868318</v>
      </c>
      <c r="E88" s="9">
        <v>1.85</v>
      </c>
      <c r="F88" s="15">
        <v>1.1971249476191376E-3</v>
      </c>
      <c r="G88" s="16">
        <v>2.8730998742858798E-6</v>
      </c>
      <c r="H88" s="5" t="s">
        <v>19</v>
      </c>
      <c r="I88" s="11"/>
    </row>
    <row r="89" spans="1:9" x14ac:dyDescent="0.25">
      <c r="A89" s="8">
        <v>52.559174590329761</v>
      </c>
      <c r="B89" s="6">
        <v>51.96</v>
      </c>
      <c r="C89" s="7">
        <v>-1.1399999999999966E-2</v>
      </c>
      <c r="D89" s="13">
        <v>21.919886708476636</v>
      </c>
      <c r="E89" s="8">
        <v>21.67</v>
      </c>
      <c r="F89" s="15">
        <v>1.4218281757540002E-2</v>
      </c>
      <c r="G89" s="16">
        <v>-1.6208841203595555E-4</v>
      </c>
      <c r="H89" s="5" t="s">
        <v>10</v>
      </c>
      <c r="I89" s="11"/>
    </row>
    <row r="90" spans="1:9" x14ac:dyDescent="0.25">
      <c r="A90" s="8">
        <v>25.699693564862105</v>
      </c>
      <c r="B90" s="6">
        <v>25.16</v>
      </c>
      <c r="C90" s="7">
        <v>-2.1000000000000019E-2</v>
      </c>
      <c r="D90" s="13">
        <v>0.67645556690500508</v>
      </c>
      <c r="E90" s="8">
        <v>0.66225000000000001</v>
      </c>
      <c r="F90" s="15">
        <v>4.3878127540652052E-4</v>
      </c>
      <c r="G90" s="16">
        <v>-9.2144067835369392E-6</v>
      </c>
      <c r="H90" s="5" t="s">
        <v>16</v>
      </c>
      <c r="I90" s="11"/>
    </row>
    <row r="91" spans="1:9" x14ac:dyDescent="0.25">
      <c r="A91" s="8">
        <v>36.999086943289029</v>
      </c>
      <c r="B91" s="6">
        <v>36.47</v>
      </c>
      <c r="C91" s="7">
        <v>-1.4299999999999979E-2</v>
      </c>
      <c r="D91" s="13">
        <v>21.010449426803287</v>
      </c>
      <c r="E91" s="8">
        <v>20.71</v>
      </c>
      <c r="F91" s="15">
        <v>1.3628377453580141E-2</v>
      </c>
      <c r="G91" s="16">
        <v>-1.9488579758619574E-4</v>
      </c>
      <c r="H91" s="5" t="s">
        <v>36</v>
      </c>
      <c r="I91" s="11"/>
    </row>
    <row r="92" spans="1:9" x14ac:dyDescent="0.25">
      <c r="A92" s="8">
        <v>76.201395812562325</v>
      </c>
      <c r="B92" s="6">
        <v>76.430000000000007</v>
      </c>
      <c r="C92" s="7">
        <v>2.9999999999998916E-3</v>
      </c>
      <c r="D92" s="13">
        <v>101.11665004985046</v>
      </c>
      <c r="E92" s="8">
        <v>101.42</v>
      </c>
      <c r="F92" s="15">
        <v>6.5589071691295311E-2</v>
      </c>
      <c r="G92" s="16">
        <v>1.9676721507387883E-4</v>
      </c>
      <c r="H92" s="5" t="s">
        <v>24</v>
      </c>
      <c r="I92" s="11"/>
    </row>
    <row r="93" spans="1:9" x14ac:dyDescent="0.25">
      <c r="A93" s="8">
        <v>150.00500851447461</v>
      </c>
      <c r="B93" s="6">
        <v>149.75</v>
      </c>
      <c r="C93" s="7">
        <v>-1.7000000000000348E-3</v>
      </c>
      <c r="D93" s="13">
        <v>2.3039166583191424</v>
      </c>
      <c r="E93" s="8">
        <v>2.2999999999999998</v>
      </c>
      <c r="F93" s="15">
        <v>1.4944299954435371E-3</v>
      </c>
      <c r="G93" s="16">
        <v>-2.5405309922540653E-6</v>
      </c>
      <c r="H93" s="5" t="s">
        <v>96</v>
      </c>
      <c r="I93" s="11"/>
    </row>
    <row r="94" spans="1:9" x14ac:dyDescent="0.25">
      <c r="A94" s="8">
        <v>66.00120385232745</v>
      </c>
      <c r="B94" s="6">
        <v>65.790000000000006</v>
      </c>
      <c r="C94" s="7">
        <v>-3.1999999999999806E-3</v>
      </c>
      <c r="D94" s="13">
        <v>38.513242375601926</v>
      </c>
      <c r="E94" s="8">
        <v>38.39</v>
      </c>
      <c r="F94" s="15">
        <v>2.4981521974790966E-2</v>
      </c>
      <c r="G94" s="16">
        <v>-7.9940870319330612E-5</v>
      </c>
      <c r="H94" s="5" t="s">
        <v>13</v>
      </c>
      <c r="I94" s="11"/>
    </row>
    <row r="95" spans="1:9" x14ac:dyDescent="0.25">
      <c r="A95" s="8">
        <v>24.799206742687161</v>
      </c>
      <c r="B95" s="6">
        <v>25.01</v>
      </c>
      <c r="C95" s="7">
        <v>8.499999999999952E-3</v>
      </c>
      <c r="D95" s="13">
        <v>4.7595438770451164</v>
      </c>
      <c r="E95" s="8">
        <v>4.8</v>
      </c>
      <c r="F95" s="15">
        <v>3.0872666807640098E-3</v>
      </c>
      <c r="G95" s="16">
        <v>2.6241766786493934E-5</v>
      </c>
      <c r="H95" s="5" t="s">
        <v>73</v>
      </c>
      <c r="I95" s="11"/>
    </row>
    <row r="96" spans="1:9" x14ac:dyDescent="0.25">
      <c r="A96" s="8">
        <v>65.946977304679649</v>
      </c>
      <c r="B96" s="6">
        <v>65.67</v>
      </c>
      <c r="C96" s="7">
        <v>-4.1999999999998705E-3</v>
      </c>
      <c r="D96" s="13">
        <v>3.3038762803775859</v>
      </c>
      <c r="E96" s="8">
        <v>3.2900000000000005</v>
      </c>
      <c r="F96" s="15">
        <v>2.1430513976286149E-3</v>
      </c>
      <c r="G96" s="16">
        <v>-9.000815870039905E-6</v>
      </c>
      <c r="H96" s="5" t="s">
        <v>87</v>
      </c>
      <c r="I96" s="11"/>
    </row>
    <row r="97" spans="1:9" x14ac:dyDescent="0.25">
      <c r="A97" s="8">
        <v>29.504890591912879</v>
      </c>
      <c r="B97" s="6">
        <v>29.26</v>
      </c>
      <c r="C97" s="7">
        <v>-8.2999999999999741E-3</v>
      </c>
      <c r="D97" s="13">
        <v>9.9626903297368159</v>
      </c>
      <c r="E97" s="8">
        <v>9.8800000000000008</v>
      </c>
      <c r="F97" s="15">
        <v>6.4622751045761021E-3</v>
      </c>
      <c r="G97" s="16">
        <v>-5.3636883367981478E-5</v>
      </c>
      <c r="H97" s="5" t="s">
        <v>52</v>
      </c>
      <c r="I97" s="11"/>
    </row>
    <row r="98" spans="1:9" x14ac:dyDescent="0.25">
      <c r="A98" s="8">
        <v>39.499598070739552</v>
      </c>
      <c r="B98" s="6">
        <v>39.31</v>
      </c>
      <c r="C98" s="7">
        <v>-4.8000000000000265E-3</v>
      </c>
      <c r="D98" s="13">
        <v>31.802652733118972</v>
      </c>
      <c r="E98" s="8">
        <v>31.65</v>
      </c>
      <c r="F98" s="15">
        <v>2.0628714153975217E-2</v>
      </c>
      <c r="G98" s="16">
        <v>-9.9017827939081583E-5</v>
      </c>
      <c r="H98" s="5" t="s">
        <v>32</v>
      </c>
      <c r="I98" s="11"/>
    </row>
    <row r="99" spans="1:9" x14ac:dyDescent="0.25">
      <c r="A99" s="8">
        <v>79.873835986782808</v>
      </c>
      <c r="B99" s="6">
        <v>79.77</v>
      </c>
      <c r="C99" s="7">
        <v>-1.2999999999999678E-3</v>
      </c>
      <c r="D99" s="13">
        <v>12.546310203264243</v>
      </c>
      <c r="E99" s="8">
        <v>12.53</v>
      </c>
      <c r="F99" s="15">
        <v>8.1381339173858952E-3</v>
      </c>
      <c r="G99" s="16">
        <v>-1.0579574092601403E-5</v>
      </c>
      <c r="H99" s="5" t="s">
        <v>3</v>
      </c>
      <c r="I99" s="11"/>
    </row>
    <row r="100" spans="1:9" x14ac:dyDescent="0.25">
      <c r="A100" s="8">
        <v>2.0999416682869922</v>
      </c>
      <c r="B100" s="6">
        <v>2.16</v>
      </c>
      <c r="C100" s="7">
        <v>2.8599999999999959E-2</v>
      </c>
      <c r="D100" s="13">
        <v>0.47266187050359715</v>
      </c>
      <c r="E100" s="8">
        <v>0.48618</v>
      </c>
      <c r="F100" s="15">
        <v>3.0659098471832753E-4</v>
      </c>
      <c r="G100" s="16">
        <v>8.7685021629441546E-6</v>
      </c>
      <c r="H100" s="5" t="s">
        <v>118</v>
      </c>
      <c r="I100" s="11"/>
    </row>
    <row r="101" spans="1:9" x14ac:dyDescent="0.25">
      <c r="A101" s="8">
        <v>0.58502726822012885</v>
      </c>
      <c r="B101" s="6">
        <v>0.59</v>
      </c>
      <c r="C101" s="7">
        <v>8.499999999999952E-3</v>
      </c>
      <c r="D101" s="13">
        <v>0.67964303420922156</v>
      </c>
      <c r="E101" s="8">
        <v>0.68541999999999992</v>
      </c>
      <c r="F101" s="15">
        <v>4.4084881840193073E-4</v>
      </c>
      <c r="G101" s="16">
        <v>3.7472149564163899E-6</v>
      </c>
      <c r="H101" s="5" t="s">
        <v>117</v>
      </c>
      <c r="I101" s="11"/>
    </row>
    <row r="102" spans="1:9" x14ac:dyDescent="0.25">
      <c r="A102" s="8">
        <v>111.7052881758764</v>
      </c>
      <c r="B102" s="6">
        <v>112.8</v>
      </c>
      <c r="C102" s="7">
        <v>9.8000000000000309E-3</v>
      </c>
      <c r="D102" s="13">
        <v>9.4573182808476925</v>
      </c>
      <c r="E102" s="8">
        <v>9.5500000000000007</v>
      </c>
      <c r="F102" s="15">
        <v>6.1344667413735622E-3</v>
      </c>
      <c r="G102" s="16">
        <v>6.0117774065461103E-5</v>
      </c>
      <c r="H102" s="5" t="s">
        <v>54</v>
      </c>
      <c r="I102" s="11"/>
    </row>
    <row r="103" spans="1:9" x14ac:dyDescent="0.25">
      <c r="A103" s="8">
        <v>62.5</v>
      </c>
      <c r="B103" s="6">
        <v>64.55</v>
      </c>
      <c r="C103" s="7">
        <v>3.279999999999994E-2</v>
      </c>
      <c r="D103" s="13">
        <v>1.2199845081332301</v>
      </c>
      <c r="E103" s="8">
        <v>1.26</v>
      </c>
      <c r="F103" s="15">
        <v>7.9134001499032471E-4</v>
      </c>
      <c r="G103" s="16">
        <v>2.5955952491682604E-5</v>
      </c>
      <c r="H103" s="5" t="s">
        <v>111</v>
      </c>
      <c r="I103" s="11"/>
    </row>
    <row r="104" spans="1:9" x14ac:dyDescent="0.25">
      <c r="A104" s="8">
        <v>5.9741819273491448</v>
      </c>
      <c r="B104" s="6">
        <v>5.97</v>
      </c>
      <c r="C104" s="7">
        <v>-7.0000000000014495E-4</v>
      </c>
      <c r="D104" s="13">
        <v>5.4438106674672273</v>
      </c>
      <c r="E104" s="8">
        <v>5.4399999999999995</v>
      </c>
      <c r="F104" s="15">
        <v>3.531114687505158E-3</v>
      </c>
      <c r="G104" s="16">
        <v>-2.4717802812541223E-6</v>
      </c>
      <c r="H104" s="5" t="s">
        <v>23</v>
      </c>
      <c r="I104" s="11"/>
    </row>
    <row r="105" spans="1:9" x14ac:dyDescent="0.25">
      <c r="A105" s="8">
        <v>13.85530227948464</v>
      </c>
      <c r="B105" s="6">
        <v>13.98</v>
      </c>
      <c r="C105" s="7">
        <v>8.999999999999897E-3</v>
      </c>
      <c r="D105" s="13">
        <v>7.4826560951437076</v>
      </c>
      <c r="E105" s="8">
        <v>7.55</v>
      </c>
      <c r="F105" s="15">
        <v>4.8536068671552503E-3</v>
      </c>
      <c r="G105" s="16">
        <v>4.3682461804396752E-5</v>
      </c>
      <c r="H105" s="5" t="s">
        <v>63</v>
      </c>
      <c r="I105" s="11"/>
    </row>
    <row r="106" spans="1:9" x14ac:dyDescent="0.25">
      <c r="A106" s="8">
        <v>21.130417415618133</v>
      </c>
      <c r="B106" s="6">
        <v>21.16</v>
      </c>
      <c r="C106" s="7">
        <v>1.4000000000000679E-3</v>
      </c>
      <c r="D106" s="13">
        <v>1.348112642300779</v>
      </c>
      <c r="E106" s="8">
        <v>1.35</v>
      </c>
      <c r="F106" s="15">
        <v>8.744500208443971E-4</v>
      </c>
      <c r="G106" s="16">
        <v>1.2242300291822153E-6</v>
      </c>
      <c r="H106" s="5" t="s">
        <v>109</v>
      </c>
      <c r="I106" s="11"/>
    </row>
    <row r="107" spans="1:9" x14ac:dyDescent="0.25">
      <c r="A107" s="8">
        <v>4.7637834105927608</v>
      </c>
      <c r="B107" s="6">
        <v>4.83</v>
      </c>
      <c r="C107" s="7">
        <v>1.3900000000000023E-2</v>
      </c>
      <c r="D107" s="13">
        <v>1.5977907091429135</v>
      </c>
      <c r="E107" s="8">
        <v>1.62</v>
      </c>
      <c r="F107" s="15">
        <v>1.0364030979862857E-3</v>
      </c>
      <c r="G107" s="16">
        <v>1.4406003062009395E-5</v>
      </c>
      <c r="H107" s="5" t="s">
        <v>103</v>
      </c>
      <c r="I107" s="11"/>
    </row>
    <row r="108" spans="1:9" x14ac:dyDescent="0.25">
      <c r="A108" s="8">
        <v>57.399794450154168</v>
      </c>
      <c r="B108" s="6">
        <v>55.85</v>
      </c>
      <c r="C108" s="7">
        <v>-2.7000000000000024E-2</v>
      </c>
      <c r="D108" s="13">
        <v>6.5364850976361772</v>
      </c>
      <c r="E108" s="8">
        <v>6.36</v>
      </c>
      <c r="F108" s="15">
        <v>4.2398753268287955E-3</v>
      </c>
      <c r="G108" s="16">
        <v>-1.1447663382437758E-4</v>
      </c>
      <c r="H108" s="5" t="s">
        <v>65</v>
      </c>
      <c r="I108" s="11"/>
    </row>
    <row r="109" spans="1:9" x14ac:dyDescent="0.25">
      <c r="A109" s="8">
        <v>56.180914714531994</v>
      </c>
      <c r="B109" s="6">
        <v>55.4</v>
      </c>
      <c r="C109" s="7">
        <v>-1.3900000000000023E-2</v>
      </c>
      <c r="D109" s="13">
        <v>3.2146841091167224</v>
      </c>
      <c r="E109" s="8">
        <v>3.17</v>
      </c>
      <c r="F109" s="15">
        <v>2.0851971104044334E-3</v>
      </c>
      <c r="G109" s="16">
        <v>-2.8984239834621674E-5</v>
      </c>
      <c r="H109" s="5" t="s">
        <v>88</v>
      </c>
      <c r="I109" s="11"/>
    </row>
    <row r="110" spans="1:9" x14ac:dyDescent="0.25">
      <c r="A110" s="8">
        <v>12.7896479085164</v>
      </c>
      <c r="B110" s="6">
        <v>12.75</v>
      </c>
      <c r="C110" s="7">
        <v>-3.0999999999999917E-3</v>
      </c>
      <c r="D110" s="13">
        <v>2.6983649312869895</v>
      </c>
      <c r="E110" s="8">
        <v>2.69</v>
      </c>
      <c r="F110" s="15">
        <v>1.7502879183616826E-3</v>
      </c>
      <c r="G110" s="16">
        <v>-5.4258925469212016E-6</v>
      </c>
      <c r="H110" s="5" t="s">
        <v>94</v>
      </c>
      <c r="I110" s="11"/>
    </row>
    <row r="111" spans="1:9" x14ac:dyDescent="0.25">
      <c r="A111" s="8">
        <v>43.099830118916763</v>
      </c>
      <c r="B111" s="6">
        <v>43.13</v>
      </c>
      <c r="C111" s="7">
        <v>6.9999999999992291E-4</v>
      </c>
      <c r="D111" s="13">
        <v>8.9137603677425812</v>
      </c>
      <c r="E111" s="8">
        <v>8.92</v>
      </c>
      <c r="F111" s="15">
        <v>5.7818892092515442E-3</v>
      </c>
      <c r="G111" s="16">
        <v>4.0473224464756349E-6</v>
      </c>
      <c r="H111" s="5" t="s">
        <v>56</v>
      </c>
      <c r="I111" s="11"/>
    </row>
    <row r="112" spans="1:9" x14ac:dyDescent="0.25">
      <c r="A112" s="8">
        <v>47.692154321603027</v>
      </c>
      <c r="B112" s="17">
        <v>47.84</v>
      </c>
      <c r="C112" s="18">
        <v>3.1000000000001027E-3</v>
      </c>
      <c r="D112" s="13">
        <v>113.41840295085234</v>
      </c>
      <c r="E112" s="8">
        <v>113.77</v>
      </c>
      <c r="F112" s="15">
        <v>7.3568574103159534E-2</v>
      </c>
      <c r="G112" s="16">
        <v>2.280625797198021E-4</v>
      </c>
      <c r="H112" s="5" t="s">
        <v>8</v>
      </c>
      <c r="I112" s="11"/>
    </row>
    <row r="113" spans="1:9" x14ac:dyDescent="0.25">
      <c r="A113" s="8">
        <v>14.19987983176447</v>
      </c>
      <c r="B113" s="6">
        <v>14.18</v>
      </c>
      <c r="C113" s="7">
        <v>-1.3999999999999568E-3</v>
      </c>
      <c r="D113" s="13">
        <v>1.5321450030042059</v>
      </c>
      <c r="E113" s="8">
        <v>1.53</v>
      </c>
      <c r="F113" s="15">
        <v>9.938221686928931E-4</v>
      </c>
      <c r="G113" s="16">
        <v>-1.3913510361700075E-6</v>
      </c>
      <c r="H113" s="5" t="s">
        <v>107</v>
      </c>
      <c r="I113" s="11"/>
    </row>
    <row r="114" spans="1:9" x14ac:dyDescent="0.25">
      <c r="A114" s="8">
        <v>207.34156874560608</v>
      </c>
      <c r="B114" s="6">
        <v>206.45</v>
      </c>
      <c r="C114" s="7">
        <v>-4.2999999999999705E-3</v>
      </c>
      <c r="D114" s="13">
        <v>20.327407853771213</v>
      </c>
      <c r="E114" s="8">
        <v>20.239999999999998</v>
      </c>
      <c r="F114" s="15">
        <v>1.3185324181150235E-2</v>
      </c>
      <c r="G114" s="16">
        <v>-5.6696893978945627E-5</v>
      </c>
      <c r="H114" s="5" t="s">
        <v>38</v>
      </c>
      <c r="I114" s="11"/>
    </row>
    <row r="115" spans="1:9" x14ac:dyDescent="0.25">
      <c r="A115" s="8">
        <v>97.995812144780146</v>
      </c>
      <c r="B115" s="6">
        <v>98.28</v>
      </c>
      <c r="C115" s="7">
        <v>2.8999999999999027E-3</v>
      </c>
      <c r="D115" s="13">
        <v>7.7874164921726994</v>
      </c>
      <c r="E115" s="8">
        <v>7.81</v>
      </c>
      <c r="F115" s="15">
        <v>5.0512889652028778E-3</v>
      </c>
      <c r="G115" s="16">
        <v>1.4648737999087854E-5</v>
      </c>
      <c r="H115" s="5" t="s">
        <v>62</v>
      </c>
      <c r="I115" s="11"/>
    </row>
    <row r="116" spans="1:9" x14ac:dyDescent="0.25">
      <c r="A116" s="8">
        <v>30.161506017899395</v>
      </c>
      <c r="B116" s="6">
        <v>29.32</v>
      </c>
      <c r="C116" s="7">
        <v>-2.7900000000000036E-2</v>
      </c>
      <c r="D116" s="13">
        <v>3.878201831087337</v>
      </c>
      <c r="E116" s="8">
        <v>3.77</v>
      </c>
      <c r="F116" s="15">
        <v>2.5155862838325532E-3</v>
      </c>
      <c r="G116" s="16">
        <v>-7.0184857318928323E-5</v>
      </c>
      <c r="H116" s="5" t="s">
        <v>79</v>
      </c>
      <c r="I116" s="11"/>
    </row>
    <row r="117" spans="1:9" x14ac:dyDescent="0.25">
      <c r="A117" s="8">
        <v>14.355449292687787</v>
      </c>
      <c r="B117" s="6">
        <v>14.41</v>
      </c>
      <c r="C117" s="7">
        <v>3.8000000000000256E-3</v>
      </c>
      <c r="D117" s="13">
        <v>8.0693365212193662</v>
      </c>
      <c r="E117" s="8">
        <v>8.1</v>
      </c>
      <c r="F117" s="15">
        <v>5.2341557135300613E-3</v>
      </c>
      <c r="G117" s="16">
        <v>1.9889791711414366E-5</v>
      </c>
      <c r="H117" s="5" t="s">
        <v>60</v>
      </c>
      <c r="I117" s="11"/>
    </row>
    <row r="118" spans="1:9" x14ac:dyDescent="0.25">
      <c r="A118" s="8">
        <v>59.100449775112452</v>
      </c>
      <c r="B118" s="6">
        <v>59.13</v>
      </c>
      <c r="C118" s="7">
        <v>4.9999999999994493E-4</v>
      </c>
      <c r="D118" s="13">
        <v>2.6486756621689156</v>
      </c>
      <c r="E118" s="8">
        <v>2.65</v>
      </c>
      <c r="F118" s="15">
        <v>1.7180570935384049E-3</v>
      </c>
      <c r="G118" s="16">
        <v>8.5902854676910788E-7</v>
      </c>
      <c r="H118" s="5" t="s">
        <v>1</v>
      </c>
      <c r="I118" s="11"/>
    </row>
    <row r="119" spans="1:9" x14ac:dyDescent="0.25">
      <c r="A119" s="8">
        <v>84.500251130085388</v>
      </c>
      <c r="B119" s="6">
        <v>84.12</v>
      </c>
      <c r="C119" s="7">
        <v>-4.4999999999999485E-3</v>
      </c>
      <c r="D119" s="13">
        <v>1.5971873430436967</v>
      </c>
      <c r="E119" s="8">
        <v>1.59</v>
      </c>
      <c r="F119" s="15">
        <v>1.0360117260181862E-3</v>
      </c>
      <c r="G119" s="16">
        <v>-4.6620527670817845E-6</v>
      </c>
      <c r="H119" s="5" t="s">
        <v>104</v>
      </c>
      <c r="I119" s="11"/>
    </row>
    <row r="120" spans="1:9" x14ac:dyDescent="0.25">
      <c r="A120" s="8">
        <v>43.696634856855852</v>
      </c>
      <c r="B120" s="6">
        <v>43.5</v>
      </c>
      <c r="C120" s="7">
        <v>-4.5000000000000595E-3</v>
      </c>
      <c r="D120" s="13">
        <v>25.786037167252637</v>
      </c>
      <c r="E120" s="8">
        <v>25.669999999999998</v>
      </c>
      <c r="F120" s="15">
        <v>1.6726050947727573E-2</v>
      </c>
      <c r="G120" s="16">
        <v>-7.5267229264775075E-5</v>
      </c>
      <c r="H120" s="5" t="s">
        <v>34</v>
      </c>
      <c r="I120" s="11"/>
    </row>
    <row r="121" spans="1:9" x14ac:dyDescent="0.25">
      <c r="A121" s="8">
        <v>180.00197804371476</v>
      </c>
      <c r="B121" s="6">
        <v>182</v>
      </c>
      <c r="C121" s="7">
        <v>1.110000000000011E-2</v>
      </c>
      <c r="D121" s="13">
        <v>1.5230936603698941</v>
      </c>
      <c r="E121" s="8">
        <v>1.54</v>
      </c>
      <c r="F121" s="15">
        <v>9.8795103707755906E-4</v>
      </c>
      <c r="G121" s="16">
        <v>1.0966256511561013E-5</v>
      </c>
      <c r="H121" s="5" t="s">
        <v>106</v>
      </c>
      <c r="I121" s="11"/>
    </row>
    <row r="122" spans="1:9" x14ac:dyDescent="0.25">
      <c r="A122" s="8">
        <v>20.115745360207544</v>
      </c>
      <c r="B122" s="6">
        <v>20.16</v>
      </c>
      <c r="C122" s="7">
        <v>2.1999999999999797E-3</v>
      </c>
      <c r="D122" s="13">
        <v>27.120335262422671</v>
      </c>
      <c r="E122" s="8">
        <v>27.18</v>
      </c>
      <c r="F122" s="15">
        <v>1.7591540195823915E-2</v>
      </c>
      <c r="G122" s="16">
        <v>3.8701388430812255E-5</v>
      </c>
      <c r="H122" s="5" t="s">
        <v>5</v>
      </c>
      <c r="I122" s="11"/>
    </row>
    <row r="123" spans="1:9" x14ac:dyDescent="0.25">
      <c r="A123" s="8">
        <v>92.932479053721053</v>
      </c>
      <c r="B123" s="6">
        <v>94.28</v>
      </c>
      <c r="C123" s="7">
        <v>1.4499999999999957E-2</v>
      </c>
      <c r="D123" s="13">
        <v>4.4455396747166089</v>
      </c>
      <c r="E123" s="8">
        <v>4.51</v>
      </c>
      <c r="F123" s="15">
        <v>2.8835886106564753E-3</v>
      </c>
      <c r="G123" s="16">
        <v>4.1812034854518772E-5</v>
      </c>
      <c r="H123" s="5" t="s">
        <v>77</v>
      </c>
      <c r="I123" s="11"/>
    </row>
    <row r="124" spans="1:9" x14ac:dyDescent="0.25">
      <c r="A124" s="8">
        <v>25.405828280852731</v>
      </c>
      <c r="B124" s="6">
        <v>25.98</v>
      </c>
      <c r="C124" s="7">
        <v>2.2599999999999953E-2</v>
      </c>
      <c r="D124" s="13">
        <v>7.324467044787796</v>
      </c>
      <c r="E124" s="10">
        <v>7.49</v>
      </c>
      <c r="F124" s="15">
        <v>4.7509979203650158E-3</v>
      </c>
      <c r="G124" s="16">
        <v>1.0737255300024914E-4</v>
      </c>
      <c r="H124" s="5" t="s">
        <v>17</v>
      </c>
      <c r="I124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D8"/>
  <sheetViews>
    <sheetView workbookViewId="0">
      <selection activeCell="D10" sqref="D10"/>
    </sheetView>
  </sheetViews>
  <sheetFormatPr baseColWidth="10" defaultRowHeight="15" x14ac:dyDescent="0.25"/>
  <cols>
    <col min="1" max="1" width="17.7109375" bestFit="1" customWidth="1"/>
    <col min="2" max="2" width="12.140625" customWidth="1"/>
    <col min="3" max="3" width="14" customWidth="1"/>
    <col min="4" max="4" width="35.42578125" customWidth="1"/>
  </cols>
  <sheetData>
    <row r="2" spans="1:4" ht="30" x14ac:dyDescent="0.25">
      <c r="A2" s="3" t="s">
        <v>120</v>
      </c>
      <c r="B2" s="4" t="s">
        <v>129</v>
      </c>
      <c r="C2" s="4" t="s">
        <v>124</v>
      </c>
    </row>
    <row r="3" spans="1:4" x14ac:dyDescent="0.25">
      <c r="A3" s="5" t="s">
        <v>28</v>
      </c>
      <c r="B3" s="20">
        <f>INDEX(données,MATCH($A3,Titres,0),3)</f>
        <v>2.3999999999999577E-3</v>
      </c>
      <c r="C3" s="19">
        <f>INDEX(données,MATCH($A3,Titres,0),7)</f>
        <v>7.2107041709780208E-5</v>
      </c>
    </row>
    <row r="4" spans="1:4" x14ac:dyDescent="0.25">
      <c r="A4" s="5" t="s">
        <v>26</v>
      </c>
      <c r="B4" s="20">
        <f>INDEX(données,MATCH(A4,Titres,0),3)</f>
        <v>-8.600000000000052E-3</v>
      </c>
      <c r="C4" s="19">
        <f>INDEX(données,MATCH($A4,Titres,0),7)</f>
        <v>-3.5538612578733412E-4</v>
      </c>
    </row>
    <row r="5" spans="1:4" x14ac:dyDescent="0.25">
      <c r="A5" s="5" t="s">
        <v>14</v>
      </c>
      <c r="B5" s="20">
        <f>INDEX(données,MATCH(A5,Titres,0),3)</f>
        <v>1.1300000000000088E-2</v>
      </c>
      <c r="C5" s="19">
        <f>INDEX(données,MATCH($A5,Titres,0),7)</f>
        <v>7.3420390933011425E-5</v>
      </c>
    </row>
    <row r="6" spans="1:4" x14ac:dyDescent="0.25">
      <c r="A6" s="5" t="s">
        <v>33</v>
      </c>
      <c r="B6" s="20">
        <f>INDEX(données,MATCH(A6,Titres,0),3)</f>
        <v>-9.3999999999999639E-3</v>
      </c>
      <c r="C6" s="19">
        <f>INDEX(données,MATCH($A6,Titres,0),7)</f>
        <v>-1.7474458774227941E-4</v>
      </c>
    </row>
    <row r="7" spans="1:4" x14ac:dyDescent="0.25">
      <c r="A7" s="5" t="s">
        <v>42</v>
      </c>
      <c r="B7" s="20">
        <f>INDEX(données,MATCH(A7,Titres,0),3)</f>
        <v>-4.4999999999998375E-3</v>
      </c>
      <c r="C7" s="19">
        <f>INDEX(données,MATCH($A7,Titres,0),7)</f>
        <v>-5.0197700234237863E-5</v>
      </c>
    </row>
    <row r="8" spans="1:4" x14ac:dyDescent="0.25">
      <c r="A8" s="5" t="s">
        <v>32</v>
      </c>
      <c r="B8" s="20">
        <f>INDEX(données,MATCH(A8,Titres,0),3)</f>
        <v>-4.8000000000000265E-3</v>
      </c>
      <c r="C8" s="19">
        <f>INDEX(données,MATCH($A8,Titres,0),7)</f>
        <v>-9.9017827939081583E-5</v>
      </c>
      <c r="D8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2:E8"/>
  <sheetViews>
    <sheetView tabSelected="1" workbookViewId="0">
      <selection activeCell="C6" sqref="C6"/>
    </sheetView>
  </sheetViews>
  <sheetFormatPr baseColWidth="10" defaultRowHeight="15" x14ac:dyDescent="0.25"/>
  <cols>
    <col min="1" max="1" width="29.42578125" bestFit="1" customWidth="1"/>
    <col min="2" max="2" width="12.140625" customWidth="1"/>
    <col min="3" max="3" width="14" customWidth="1"/>
  </cols>
  <sheetData>
    <row r="2" spans="1:5" ht="14.45" x14ac:dyDescent="0.35">
      <c r="A2" s="3" t="s">
        <v>120</v>
      </c>
      <c r="B2" s="4" t="s">
        <v>129</v>
      </c>
      <c r="C2" s="4" t="s">
        <v>124</v>
      </c>
    </row>
    <row r="3" spans="1:5" x14ac:dyDescent="0.25">
      <c r="A3" s="5" t="s">
        <v>28</v>
      </c>
      <c r="B3" s="7">
        <v>2.3999999999999577E-3</v>
      </c>
      <c r="C3" s="16">
        <v>7.2107041709780208E-5</v>
      </c>
    </row>
    <row r="4" spans="1:5" x14ac:dyDescent="0.25">
      <c r="A4" s="5" t="s">
        <v>26</v>
      </c>
      <c r="B4" s="7">
        <v>-8.600000000000052E-3</v>
      </c>
      <c r="C4" s="16">
        <v>-3.5538612578733412E-4</v>
      </c>
    </row>
    <row r="5" spans="1:5" x14ac:dyDescent="0.25">
      <c r="A5" s="5" t="s">
        <v>14</v>
      </c>
      <c r="B5" s="7">
        <v>1.1300000000000088E-2</v>
      </c>
      <c r="C5" s="16">
        <v>7.3420390933011425E-5</v>
      </c>
    </row>
    <row r="6" spans="1:5" x14ac:dyDescent="0.25">
      <c r="A6" s="5" t="s">
        <v>33</v>
      </c>
      <c r="B6" s="7">
        <v>-9.3999999999999639E-3</v>
      </c>
      <c r="C6" s="16">
        <v>-1.7474458774227941E-4</v>
      </c>
    </row>
    <row r="7" spans="1:5" x14ac:dyDescent="0.25">
      <c r="A7" s="5" t="s">
        <v>42</v>
      </c>
      <c r="B7" s="7">
        <v>-4.4999999999998375E-3</v>
      </c>
      <c r="C7" s="16">
        <v>-5.0197700234237863E-5</v>
      </c>
    </row>
    <row r="8" spans="1:5" x14ac:dyDescent="0.25">
      <c r="A8" s="5" t="s">
        <v>32</v>
      </c>
      <c r="B8" s="7">
        <v>-4.8000000000000265E-3</v>
      </c>
      <c r="C8" s="16">
        <v>-9.9017827939081583E-5</v>
      </c>
      <c r="E8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Data</vt:lpstr>
      <vt:lpstr>RechercheV</vt:lpstr>
      <vt:lpstr>Vlookup</vt:lpstr>
      <vt:lpstr>Data (2)</vt:lpstr>
      <vt:lpstr>Index_Equiv</vt:lpstr>
      <vt:lpstr>Index_match</vt:lpstr>
      <vt:lpstr>données</vt:lpstr>
      <vt:lpstr>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fpeltrault</cp:lastModifiedBy>
  <dcterms:created xsi:type="dcterms:W3CDTF">2014-11-26T20:32:56Z</dcterms:created>
  <dcterms:modified xsi:type="dcterms:W3CDTF">2015-11-27T10:45:11Z</dcterms:modified>
</cp:coreProperties>
</file>