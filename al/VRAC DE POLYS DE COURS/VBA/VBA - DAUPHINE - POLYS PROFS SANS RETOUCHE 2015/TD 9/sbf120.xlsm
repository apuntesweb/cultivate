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003c032600fe0d2/Documents/Cours/IAF 2016/Séance 9/"/>
    </mc:Choice>
  </mc:AlternateContent>
  <bookViews>
    <workbookView xWindow="0" yWindow="0" windowWidth="21600" windowHeight="10030"/>
  </bookViews>
  <sheets>
    <sheet name="Data" sheetId="1" r:id="rId1"/>
    <sheet name="Liste" sheetId="4" r:id="rId2"/>
    <sheet name="Rendements" sheetId="2" r:id="rId3"/>
  </sheets>
  <definedNames>
    <definedName name="_xlnm._FilterDatabase" localSheetId="0" hidden="1">Data!$A$4:$H$124</definedName>
    <definedName name="Capi_DP">Data!$E$5:$E$124</definedName>
    <definedName name="Capi_FP">Data!$F$5:$F$124</definedName>
  </definedNames>
  <calcPr calcId="152511"/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<sst xmlns="http://schemas.openxmlformats.org/spreadsheetml/2006/main" count="202" uniqueCount="138">
  <si>
    <t>L'OREAL</t>
  </si>
  <si>
    <t>VICAT</t>
  </si>
  <si>
    <t>ALTEN</t>
  </si>
  <si>
    <t>SODEXO</t>
  </si>
  <si>
    <t>AIR LIQUIDE</t>
  </si>
  <si>
    <t>VIVENDI</t>
  </si>
  <si>
    <t>EURAZEO</t>
  </si>
  <si>
    <t>BOUYGUES</t>
  </si>
  <si>
    <t>TOTAL</t>
  </si>
  <si>
    <t>NEXITY</t>
  </si>
  <si>
    <t>SAFRAN</t>
  </si>
  <si>
    <t>PEUGEOT</t>
  </si>
  <si>
    <t>ALSTOM</t>
  </si>
  <si>
    <t>SCHNEIDER ELECTRIC</t>
  </si>
  <si>
    <t>CNP ASSURANCES</t>
  </si>
  <si>
    <t>HERMES INTERNATIONAL</t>
  </si>
  <si>
    <t>SAFT</t>
  </si>
  <si>
    <t>ZODIAC AEROSPACE</t>
  </si>
  <si>
    <t>DANONE</t>
  </si>
  <si>
    <t>RUBIS</t>
  </si>
  <si>
    <t>EUROFINS SCIENTIFIC</t>
  </si>
  <si>
    <t>KLEPIERRE</t>
  </si>
  <si>
    <t>IMERYS</t>
  </si>
  <si>
    <t>STMICROELECTRONICS</t>
  </si>
  <si>
    <t>Capitalisation</t>
  </si>
  <si>
    <t>SANOFI</t>
  </si>
  <si>
    <t>LVMH</t>
  </si>
  <si>
    <t>BNP PARIBAS</t>
  </si>
  <si>
    <t>GDF SUEZ</t>
  </si>
  <si>
    <t>AXA</t>
  </si>
  <si>
    <t>EDF</t>
  </si>
  <si>
    <t>AIRBUS GROUP (EX-EADS)</t>
  </si>
  <si>
    <t>ORANGE (EX-FRANCE TELECOM)</t>
  </si>
  <si>
    <t>SOCIETE GENERALE</t>
  </si>
  <si>
    <t>CREDIT AGRICOLE</t>
  </si>
  <si>
    <t>VINCI</t>
  </si>
  <si>
    <t>PERNOD RICARD</t>
  </si>
  <si>
    <t>SAINT-GOBAIN</t>
  </si>
  <si>
    <t>KERING (EX-PPR)</t>
  </si>
  <si>
    <t>UNIBAIL-RODAMCO</t>
  </si>
  <si>
    <t>RENAULT</t>
  </si>
  <si>
    <t>ESSILOR INTERNATIONAL</t>
  </si>
  <si>
    <t>CARREFOUR</t>
  </si>
  <si>
    <t>NATIXIS</t>
  </si>
  <si>
    <t>ARCELORMITTAL</t>
  </si>
  <si>
    <t>LAFARGE</t>
  </si>
  <si>
    <t>MICHELIN</t>
  </si>
  <si>
    <t>DASSAULT SYSTEMES</t>
  </si>
  <si>
    <t>NUMERICABLE</t>
  </si>
  <si>
    <t>PUBLICIS</t>
  </si>
  <si>
    <t>ILIAD</t>
  </si>
  <si>
    <t>LEGRAND</t>
  </si>
  <si>
    <t>BOLLORE</t>
  </si>
  <si>
    <t>SES</t>
  </si>
  <si>
    <t>AEROPORTS DE PARIS</t>
  </si>
  <si>
    <t>SOLVAY</t>
  </si>
  <si>
    <t>CAPGEMINI</t>
  </si>
  <si>
    <t>THALES</t>
  </si>
  <si>
    <t>CASINO GUICHARD PERRACHON</t>
  </si>
  <si>
    <t>BUREAU VERITAS</t>
  </si>
  <si>
    <t>ACCOR</t>
  </si>
  <si>
    <t>VEOLIA ENVIRONNEMENT</t>
  </si>
  <si>
    <t>ALCATEL-LUCENT</t>
  </si>
  <si>
    <t>VALEO</t>
  </si>
  <si>
    <t>SUEZ ENVIRONNEMENT</t>
  </si>
  <si>
    <t>GECINA</t>
  </si>
  <si>
    <t>TECHNIP</t>
  </si>
  <si>
    <t>GEMALTO</t>
  </si>
  <si>
    <t>JCDECAUX</t>
  </si>
  <si>
    <t>EUTELSAT</t>
  </si>
  <si>
    <t>ATOS (EX-ATOS ORIGIN)</t>
  </si>
  <si>
    <t>GROUPE EUROTUNNEL</t>
  </si>
  <si>
    <t>EDENRED</t>
  </si>
  <si>
    <t>BIC</t>
  </si>
  <si>
    <t>SCOR SE</t>
  </si>
  <si>
    <t>INGENICO</t>
  </si>
  <si>
    <t>FONCIERE DES REGIONS</t>
  </si>
  <si>
    <t>ICADE</t>
  </si>
  <si>
    <t>WENDEL</t>
  </si>
  <si>
    <t>REXEL</t>
  </si>
  <si>
    <t>VALLOUREC</t>
  </si>
  <si>
    <t>AREVA</t>
  </si>
  <si>
    <t>EIFFAGE</t>
  </si>
  <si>
    <t>FAURECIA</t>
  </si>
  <si>
    <t>EULER HERMES GROUP</t>
  </si>
  <si>
    <t>IPSEN</t>
  </si>
  <si>
    <t>BIOMERIEUX</t>
  </si>
  <si>
    <t>ARKEMA</t>
  </si>
  <si>
    <t>SEB</t>
  </si>
  <si>
    <t>TELEPERFORMANCE (EX - SR TELEPERFORMANCE)</t>
  </si>
  <si>
    <t>PLASTIC OMNIUM</t>
  </si>
  <si>
    <t>LAGARDERE</t>
  </si>
  <si>
    <t>REMY COINTREAU</t>
  </si>
  <si>
    <t>HAVAS</t>
  </si>
  <si>
    <t>ORPEA</t>
  </si>
  <si>
    <t>TF1</t>
  </si>
  <si>
    <t>KORIAN-MEDICA</t>
  </si>
  <si>
    <t>SARTORIUS STEDIM BIOTECH (EX-STEDIM)</t>
  </si>
  <si>
    <t>AIR FRANCE KLM</t>
  </si>
  <si>
    <t>ERAMET</t>
  </si>
  <si>
    <t>APERAM</t>
  </si>
  <si>
    <t>NEOPOST</t>
  </si>
  <si>
    <t>M6 METROPOLE TELEVISION</t>
  </si>
  <si>
    <t>MERCIALYS</t>
  </si>
  <si>
    <t>TECHNICOLOR</t>
  </si>
  <si>
    <t>VILMORIN ET CIE</t>
  </si>
  <si>
    <t>GTT</t>
  </si>
  <si>
    <t>VIRBAC</t>
  </si>
  <si>
    <t>UBISOFT</t>
  </si>
  <si>
    <t>CGG (EX-CGGVERITAS)</t>
  </si>
  <si>
    <t>TARKETT</t>
  </si>
  <si>
    <t>ALTRAN TECHNOLOGIES</t>
  </si>
  <si>
    <t>SOPRA STERIA GROUP</t>
  </si>
  <si>
    <t>NEXANS</t>
  </si>
  <si>
    <t>IPSOS</t>
  </si>
  <si>
    <t>MAUREL &amp; PROM</t>
  </si>
  <si>
    <t>GENFIT</t>
  </si>
  <si>
    <t>MONTUPET</t>
  </si>
  <si>
    <t>SOLOCAL GROUP (EX-PAGESJAUNES)</t>
  </si>
  <si>
    <t>SOITEC</t>
  </si>
  <si>
    <t>GAMELOFT</t>
  </si>
  <si>
    <t>Titre</t>
  </si>
  <si>
    <t xml:space="preserve">Composition de l'indice SBF 120 </t>
  </si>
  <si>
    <t>Cours et rendements des titres le 26/11/2014</t>
  </si>
  <si>
    <t>Pondération</t>
  </si>
  <si>
    <t>Contribution</t>
  </si>
  <si>
    <t>Cours
25/11</t>
  </si>
  <si>
    <t>Cours
26/11</t>
  </si>
  <si>
    <t>Rendement</t>
  </si>
  <si>
    <t>SBF 120</t>
  </si>
  <si>
    <t>Tableau 1. Listes des 30 plus  grandes capitalisations</t>
  </si>
  <si>
    <t>Tableau 2. Listes des 30 plus petites capitalisations</t>
  </si>
  <si>
    <t>Tableau 3. Rendements et contribution des grandes et petites capitalisations</t>
  </si>
  <si>
    <t>Capitalisation au 25/11
(en milliards d'euros</t>
  </si>
  <si>
    <t>Capitalisation au 26/11
(en milliards d'euros</t>
  </si>
  <si>
    <t>Rendements</t>
  </si>
  <si>
    <t>Grandes capitalisations</t>
  </si>
  <si>
    <t>Petites capitalisations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</si>
</sst>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#,##0.00\ &quot;€&quot;;[Red]\-#,##0.00\ &quot;€&quot;"/>
    <numFmt numFmtId="164" formatCode="0.000%"/>
    <numFmt numFmtId="165" formatCode="0.0000%"/>
    <numFmt numFmtId="166" formatCode="0.0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3" borderId="0" xfId="0" applyFill="1"/>
    <xf numFmtId="8" fontId="0" fillId="3" borderId="0" xfId="0" applyNumberFormat="1" applyFill="1" applyAlignment="1">
      <alignment horizontal="center" vertical="center" wrapText="1"/>
    </xf>
    <xf numFmtId="10" fontId="2" fillId="3" borderId="0" xfId="0" applyNumberFormat="1" applyFont="1" applyFill="1" applyAlignment="1">
      <alignment horizontal="center" vertical="center" wrapText="1"/>
    </xf>
    <xf numFmtId="2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 vertical="center" wrapText="1"/>
    </xf>
    <xf numFmtId="0" fontId="0" fillId="3" borderId="0" xfId="0" applyNumberForma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164" fontId="0" fillId="0" borderId="0" xfId="1" applyNumberFormat="1" applyFont="1" applyAlignment="1">
      <alignment horizontal="center"/>
    </xf>
    <xf numFmtId="10" fontId="0" fillId="3" borderId="0" xfId="0" applyNumberFormat="1" applyFill="1" applyAlignment="1">
      <alignment horizontal="center"/>
    </xf>
    <xf numFmtId="0" fontId="2" fillId="3" borderId="0" xfId="0" applyFont="1" applyFill="1"/>
    <xf numFmtId="0" fontId="0" fillId="3" borderId="0" xfId="0" applyFill="1" applyAlignment="1">
      <alignment horizontal="center"/>
    </xf>
    <xf numFmtId="164" fontId="0" fillId="0" borderId="0" xfId="1" applyNumberFormat="1" applyFont="1"/>
    <xf numFmtId="10" fontId="0" fillId="3" borderId="0" xfId="1" applyNumberFormat="1" applyFont="1" applyFill="1" applyAlignment="1">
      <alignment horizontal="center"/>
    </xf>
    <xf numFmtId="0" fontId="0" fillId="3" borderId="0" xfId="0" applyNumberFormat="1" applyFill="1" applyAlignment="1">
      <alignment horizontal="center" vertical="center" wrapText="1"/>
    </xf>
    <xf numFmtId="10" fontId="2" fillId="3" borderId="0" xfId="1" applyNumberFormat="1" applyFont="1" applyFill="1" applyAlignment="1">
      <alignment horizontal="center" vertical="center" wrapText="1"/>
    </xf>
    <xf numFmtId="166" fontId="0" fillId="0" borderId="0" xfId="1" applyNumberFormat="1" applyFont="1"/>
    <xf numFmtId="165" fontId="0" fillId="3" borderId="0" xfId="1" applyNumberFormat="1" applyFont="1" applyFill="1" applyAlignment="1">
      <alignment horizontal="center"/>
    </xf>
    <xf numFmtId="0" fontId="0" fillId="3" borderId="2" xfId="0" applyFill="1" applyBorder="1"/>
    <xf numFmtId="165" fontId="0" fillId="3" borderId="2" xfId="1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2" fontId="0" fillId="3" borderId="0" xfId="0" applyNumberFormat="1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124"/>
  <sheetViews>
    <sheetView tabSelected="1" workbookViewId="0">
      <selection activeCell="D8" sqref="D8"/>
    </sheetView>
  </sheetViews>
  <sheetFormatPr baseColWidth="10" defaultRowHeight="14.5" x14ac:dyDescent="0.35"/>
  <cols>
    <col min="1" max="1" width="32.54296875" customWidth="1"/>
    <col min="2" max="2" width="10.54296875" bestFit="1" customWidth="1"/>
    <col min="3" max="3" width="14.81640625" bestFit="1" customWidth="1"/>
    <col min="4" max="4" width="20.54296875" style="3" customWidth="1"/>
    <col min="5" max="5" width="22" style="3" customWidth="1"/>
    <col min="6" max="6" width="20.7265625" customWidth="1"/>
    <col min="7" max="7" width="12.81640625" customWidth="1"/>
    <col min="8" max="8" width="15" customWidth="1"/>
  </cols>
  <sheetData>
    <row r="1" spans="1:10" ht="23.5" x14ac:dyDescent="0.35">
      <c r="A1" s="2" t="s">
        <v>122</v>
      </c>
      <c r="E1" s="14"/>
      <c r="I1" s="12"/>
    </row>
    <row r="2" spans="1:10" ht="23.5" x14ac:dyDescent="0.35">
      <c r="A2" s="2" t="s">
        <v>123</v>
      </c>
    </row>
    <row r="4" spans="1:10" ht="29" x14ac:dyDescent="0.35">
      <c r="A4" s="4" t="s">
        <v>121</v>
      </c>
      <c r="B4" s="5" t="s">
        <v>126</v>
      </c>
      <c r="C4" s="5" t="s">
        <v>127</v>
      </c>
      <c r="D4" s="5" t="s">
        <v>135</v>
      </c>
      <c r="E4" s="5" t="s">
        <v>133</v>
      </c>
      <c r="F4" s="5" t="s">
        <v>134</v>
      </c>
      <c r="G4" s="5" t="s">
        <v>124</v>
      </c>
      <c r="H4" s="5" t="s">
        <v>125</v>
      </c>
      <c r="I4" s="13"/>
    </row>
    <row r="5" spans="1:10" x14ac:dyDescent="0.35">
      <c r="A5" s="6" t="s">
        <v>60</v>
      </c>
      <c r="B5" s="9">
        <v>36.670651524208012</v>
      </c>
      <c r="C5" s="7">
        <v>36.81</v>
      </c>
      <c r="D5" s="8"/>
      <c r="E5" s="28">
        <v>8.4379358437935856</v>
      </c>
      <c r="F5" s="9"/>
      <c r="G5" s="15"/>
      <c r="H5" s="19"/>
      <c r="J5" s="12"/>
    </row>
    <row r="6" spans="1:10" x14ac:dyDescent="0.35">
      <c r="A6" s="6" t="s">
        <v>54</v>
      </c>
      <c r="B6" s="9">
        <v>100</v>
      </c>
      <c r="C6" s="7">
        <v>98.9</v>
      </c>
      <c r="D6" s="8"/>
      <c r="E6" s="28">
        <v>9.8988877654196141</v>
      </c>
      <c r="F6" s="9"/>
      <c r="G6" s="15"/>
      <c r="H6" s="19"/>
      <c r="J6" s="12"/>
    </row>
    <row r="7" spans="1:10" x14ac:dyDescent="0.35">
      <c r="A7" s="6" t="s">
        <v>98</v>
      </c>
      <c r="B7" s="9">
        <v>7.6277116864940515</v>
      </c>
      <c r="C7" s="7">
        <v>7.63</v>
      </c>
      <c r="D7" s="8"/>
      <c r="E7" s="28">
        <v>2.2893132060381887</v>
      </c>
      <c r="F7" s="9"/>
      <c r="G7" s="15"/>
      <c r="H7" s="19"/>
      <c r="J7" s="12"/>
    </row>
    <row r="8" spans="1:10" x14ac:dyDescent="0.35">
      <c r="A8" s="6" t="s">
        <v>4</v>
      </c>
      <c r="B8" s="9">
        <v>100.45045045045045</v>
      </c>
      <c r="C8" s="7">
        <v>100.35</v>
      </c>
      <c r="D8" s="8"/>
      <c r="E8" s="28">
        <v>34.62462462462463</v>
      </c>
      <c r="F8" s="9"/>
      <c r="G8" s="15"/>
      <c r="H8" s="19"/>
      <c r="J8" s="12"/>
    </row>
    <row r="9" spans="1:10" x14ac:dyDescent="0.35">
      <c r="A9" s="6" t="s">
        <v>31</v>
      </c>
      <c r="B9" s="9">
        <v>49.578397912065853</v>
      </c>
      <c r="C9" s="7">
        <v>49.39</v>
      </c>
      <c r="D9" s="8"/>
      <c r="E9" s="28">
        <v>38.897811684400722</v>
      </c>
      <c r="F9" s="9"/>
      <c r="G9" s="15"/>
      <c r="H9" s="19"/>
      <c r="J9" s="12"/>
    </row>
    <row r="10" spans="1:10" x14ac:dyDescent="0.35">
      <c r="A10" s="6" t="s">
        <v>62</v>
      </c>
      <c r="B10" s="9">
        <v>2.7758970886932972</v>
      </c>
      <c r="C10" s="7">
        <v>2.87</v>
      </c>
      <c r="D10" s="8"/>
      <c r="E10" s="28">
        <v>7.7957249250411067</v>
      </c>
      <c r="F10" s="9"/>
      <c r="G10" s="15"/>
      <c r="H10" s="19"/>
      <c r="J10" s="12"/>
    </row>
    <row r="11" spans="1:10" x14ac:dyDescent="0.35">
      <c r="A11" s="6" t="s">
        <v>12</v>
      </c>
      <c r="B11" s="9">
        <v>28.235530546623796</v>
      </c>
      <c r="C11" s="7">
        <v>28.1</v>
      </c>
      <c r="D11" s="8"/>
      <c r="E11" s="28">
        <v>8.7319131832797421</v>
      </c>
      <c r="F11" s="9"/>
      <c r="G11" s="15"/>
      <c r="H11" s="19"/>
      <c r="J11" s="12"/>
    </row>
    <row r="12" spans="1:10" x14ac:dyDescent="0.35">
      <c r="A12" s="6" t="s">
        <v>2</v>
      </c>
      <c r="B12" s="9">
        <v>35.60421735604217</v>
      </c>
      <c r="C12" s="7">
        <v>35.119999999999997</v>
      </c>
      <c r="D12" s="8"/>
      <c r="E12" s="28">
        <v>1.1962692619626925</v>
      </c>
      <c r="F12" s="9"/>
      <c r="G12" s="15"/>
      <c r="H12" s="19"/>
      <c r="J12" s="12"/>
    </row>
    <row r="13" spans="1:10" x14ac:dyDescent="0.35">
      <c r="A13" s="6" t="s">
        <v>111</v>
      </c>
      <c r="B13" s="9">
        <v>7.5637818909454717</v>
      </c>
      <c r="C13" s="7">
        <v>7.56</v>
      </c>
      <c r="D13" s="8"/>
      <c r="E13" s="28">
        <v>1.3206603301650826</v>
      </c>
      <c r="F13" s="9"/>
      <c r="G13" s="15"/>
      <c r="H13" s="19"/>
      <c r="J13" s="12"/>
    </row>
    <row r="14" spans="1:10" x14ac:dyDescent="0.35">
      <c r="A14" s="6" t="s">
        <v>100</v>
      </c>
      <c r="B14" s="9">
        <v>25.500400320256205</v>
      </c>
      <c r="C14" s="7">
        <v>25.48</v>
      </c>
      <c r="D14" s="8"/>
      <c r="E14" s="28">
        <v>1.9915932746196958</v>
      </c>
      <c r="F14" s="10"/>
      <c r="G14" s="15"/>
      <c r="H14" s="19"/>
      <c r="J14" s="12"/>
    </row>
    <row r="15" spans="1:10" x14ac:dyDescent="0.35">
      <c r="A15" s="6" t="s">
        <v>44</v>
      </c>
      <c r="B15" s="9">
        <v>9.9761999206664029</v>
      </c>
      <c r="C15" s="7">
        <v>10.06</v>
      </c>
      <c r="D15" s="8"/>
      <c r="E15" s="28">
        <v>16.610472034906785</v>
      </c>
      <c r="F15" s="9"/>
      <c r="G15" s="15"/>
      <c r="H15" s="19"/>
      <c r="J15" s="12"/>
    </row>
    <row r="16" spans="1:10" x14ac:dyDescent="0.35">
      <c r="A16" s="6" t="s">
        <v>81</v>
      </c>
      <c r="B16" s="9">
        <v>9.8003629764065341</v>
      </c>
      <c r="C16" s="7">
        <v>9.7200000000000006</v>
      </c>
      <c r="D16" s="8"/>
      <c r="E16" s="28">
        <v>3.7507562008469453</v>
      </c>
      <c r="F16" s="9"/>
      <c r="G16" s="15"/>
      <c r="H16" s="19"/>
      <c r="J16" s="12"/>
    </row>
    <row r="17" spans="1:10" x14ac:dyDescent="0.35">
      <c r="A17" s="6" t="s">
        <v>87</v>
      </c>
      <c r="B17" s="9">
        <v>51.009120900446341</v>
      </c>
      <c r="C17" s="7">
        <v>52.57</v>
      </c>
      <c r="D17" s="8"/>
      <c r="E17" s="28">
        <v>3.2505336697069671</v>
      </c>
      <c r="F17" s="9"/>
      <c r="G17" s="15"/>
      <c r="H17" s="19"/>
      <c r="J17" s="12"/>
    </row>
    <row r="18" spans="1:10" x14ac:dyDescent="0.35">
      <c r="A18" s="6" t="s">
        <v>70</v>
      </c>
      <c r="B18" s="9">
        <v>57.371440072456473</v>
      </c>
      <c r="C18" s="7">
        <v>57.01</v>
      </c>
      <c r="D18" s="8"/>
      <c r="E18" s="28">
        <v>5.796518063801952</v>
      </c>
      <c r="F18" s="9"/>
      <c r="G18" s="15"/>
      <c r="H18" s="19"/>
      <c r="J18" s="12"/>
    </row>
    <row r="19" spans="1:10" x14ac:dyDescent="0.35">
      <c r="A19" s="6" t="s">
        <v>29</v>
      </c>
      <c r="B19" s="9">
        <v>19.124102154828414</v>
      </c>
      <c r="C19" s="7">
        <v>19.170000000000002</v>
      </c>
      <c r="D19" s="8"/>
      <c r="E19" s="28">
        <v>46.318834796488431</v>
      </c>
      <c r="F19" s="9"/>
      <c r="G19" s="15"/>
      <c r="H19" s="19"/>
      <c r="J19" s="12"/>
    </row>
    <row r="20" spans="1:10" x14ac:dyDescent="0.35">
      <c r="A20" s="6" t="s">
        <v>73</v>
      </c>
      <c r="B20" s="9">
        <v>105.00196540880502</v>
      </c>
      <c r="C20" s="7">
        <v>106.85</v>
      </c>
      <c r="D20" s="8"/>
      <c r="E20" s="28">
        <v>5.0019654088050309</v>
      </c>
      <c r="F20" s="9"/>
      <c r="G20" s="15"/>
      <c r="H20" s="19"/>
      <c r="J20" s="12"/>
    </row>
    <row r="21" spans="1:10" x14ac:dyDescent="0.35">
      <c r="A21" s="6" t="s">
        <v>86</v>
      </c>
      <c r="B21" s="9">
        <v>86.196443007275661</v>
      </c>
      <c r="C21" s="7">
        <v>85.3</v>
      </c>
      <c r="D21" s="8"/>
      <c r="E21" s="28">
        <v>3.4054163298302345</v>
      </c>
      <c r="F21" s="9"/>
      <c r="G21" s="15"/>
      <c r="H21" s="19"/>
      <c r="J21" s="12"/>
    </row>
    <row r="22" spans="1:10" x14ac:dyDescent="0.35">
      <c r="A22" s="6" t="s">
        <v>27</v>
      </c>
      <c r="B22" s="9">
        <v>51.119628807746622</v>
      </c>
      <c r="C22" s="7">
        <v>50.68</v>
      </c>
      <c r="D22" s="8"/>
      <c r="E22" s="28">
        <v>63.707887835384305</v>
      </c>
      <c r="F22" s="9"/>
      <c r="G22" s="15"/>
      <c r="H22" s="19"/>
      <c r="J22" s="12"/>
    </row>
    <row r="23" spans="1:10" x14ac:dyDescent="0.35">
      <c r="A23" s="6" t="s">
        <v>52</v>
      </c>
      <c r="B23" s="9">
        <v>391.7057590577902</v>
      </c>
      <c r="C23" s="7">
        <v>392.45</v>
      </c>
      <c r="D23" s="8"/>
      <c r="E23" s="28">
        <v>10.739594769937119</v>
      </c>
      <c r="F23" s="9"/>
      <c r="G23" s="15"/>
      <c r="H23" s="19"/>
      <c r="J23" s="12"/>
    </row>
    <row r="24" spans="1:10" x14ac:dyDescent="0.35">
      <c r="A24" s="6" t="s">
        <v>7</v>
      </c>
      <c r="B24" s="9">
        <v>29.924585218702866</v>
      </c>
      <c r="C24" s="7">
        <v>29.76</v>
      </c>
      <c r="D24" s="8"/>
      <c r="E24" s="28">
        <v>10.04524886877828</v>
      </c>
      <c r="F24" s="9"/>
      <c r="G24" s="15"/>
      <c r="H24" s="19"/>
      <c r="J24" s="12"/>
    </row>
    <row r="25" spans="1:10" x14ac:dyDescent="0.35">
      <c r="A25" s="6" t="s">
        <v>59</v>
      </c>
      <c r="B25" s="9">
        <v>19.269596199524941</v>
      </c>
      <c r="C25" s="7">
        <v>19.47</v>
      </c>
      <c r="D25" s="8"/>
      <c r="E25" s="28">
        <v>8.5114806017418836</v>
      </c>
      <c r="F25" s="9"/>
      <c r="G25" s="15"/>
      <c r="H25" s="19"/>
      <c r="J25" s="12"/>
    </row>
    <row r="26" spans="1:10" x14ac:dyDescent="0.35">
      <c r="A26" s="6" t="s">
        <v>56</v>
      </c>
      <c r="B26" s="9">
        <v>58.500895878956804</v>
      </c>
      <c r="C26" s="7">
        <v>58.77</v>
      </c>
      <c r="D26" s="8"/>
      <c r="E26" s="28">
        <v>9.2773243081823615</v>
      </c>
      <c r="F26" s="9"/>
      <c r="G26" s="15"/>
      <c r="H26" s="19"/>
      <c r="J26" s="12"/>
    </row>
    <row r="27" spans="1:10" x14ac:dyDescent="0.35">
      <c r="A27" s="6" t="s">
        <v>42</v>
      </c>
      <c r="B27" s="9">
        <v>25.526157546602523</v>
      </c>
      <c r="C27" s="7">
        <v>25.47</v>
      </c>
      <c r="D27" s="8"/>
      <c r="E27" s="28">
        <v>18.761274804570053</v>
      </c>
      <c r="F27" s="9"/>
      <c r="G27" s="15"/>
      <c r="H27" s="19"/>
      <c r="J27" s="12"/>
    </row>
    <row r="28" spans="1:10" x14ac:dyDescent="0.35">
      <c r="A28" s="6" t="s">
        <v>58</v>
      </c>
      <c r="B28" s="9">
        <v>80.998970133882608</v>
      </c>
      <c r="C28" s="7">
        <v>78.650000000000006</v>
      </c>
      <c r="D28" s="8"/>
      <c r="E28" s="28">
        <v>9.1658084449021633</v>
      </c>
      <c r="F28" s="9"/>
      <c r="G28" s="15"/>
      <c r="H28" s="19"/>
      <c r="J28" s="12"/>
    </row>
    <row r="29" spans="1:10" x14ac:dyDescent="0.35">
      <c r="A29" s="6" t="s">
        <v>109</v>
      </c>
      <c r="B29" s="9">
        <v>7.9310002974125116</v>
      </c>
      <c r="C29" s="7">
        <v>8</v>
      </c>
      <c r="D29" s="8"/>
      <c r="E29" s="28">
        <v>1.4077525527907206</v>
      </c>
      <c r="F29" s="9"/>
      <c r="G29" s="15"/>
      <c r="H29" s="19"/>
      <c r="J29" s="12"/>
    </row>
    <row r="30" spans="1:10" x14ac:dyDescent="0.35">
      <c r="A30" s="6" t="s">
        <v>14</v>
      </c>
      <c r="B30" s="9">
        <v>14.595075645209135</v>
      </c>
      <c r="C30" s="7">
        <v>14.76</v>
      </c>
      <c r="D30" s="8"/>
      <c r="E30" s="28">
        <v>10.016810046474834</v>
      </c>
      <c r="F30" s="9"/>
      <c r="G30" s="15"/>
      <c r="H30" s="19"/>
      <c r="J30" s="12"/>
    </row>
    <row r="31" spans="1:10" x14ac:dyDescent="0.35">
      <c r="A31" s="6" t="s">
        <v>34</v>
      </c>
      <c r="B31" s="9">
        <v>11.124570967090651</v>
      </c>
      <c r="C31" s="7">
        <v>11.02</v>
      </c>
      <c r="D31" s="8"/>
      <c r="E31" s="28">
        <v>28.659398344437715</v>
      </c>
      <c r="F31" s="9"/>
      <c r="G31" s="15"/>
      <c r="H31" s="19"/>
      <c r="J31" s="12"/>
    </row>
    <row r="32" spans="1:10" x14ac:dyDescent="0.35">
      <c r="A32" s="6" t="s">
        <v>18</v>
      </c>
      <c r="B32" s="9">
        <v>56.132027859089533</v>
      </c>
      <c r="C32" s="7">
        <v>55.61</v>
      </c>
      <c r="D32" s="8"/>
      <c r="E32" s="28">
        <v>36.136065408297156</v>
      </c>
      <c r="F32" s="9"/>
      <c r="G32" s="15"/>
      <c r="H32" s="19"/>
      <c r="J32" s="12"/>
    </row>
    <row r="33" spans="1:10" x14ac:dyDescent="0.35">
      <c r="A33" s="6" t="s">
        <v>47</v>
      </c>
      <c r="B33" s="9">
        <v>52.231652521218173</v>
      </c>
      <c r="C33" s="7">
        <v>52.31</v>
      </c>
      <c r="D33" s="8"/>
      <c r="E33" s="28">
        <v>13.359960059910135</v>
      </c>
      <c r="F33" s="9"/>
      <c r="G33" s="15"/>
      <c r="H33" s="19"/>
      <c r="J33" s="12"/>
    </row>
    <row r="34" spans="1:10" x14ac:dyDescent="0.35">
      <c r="A34" s="6" t="s">
        <v>72</v>
      </c>
      <c r="B34" s="9">
        <v>23.290406309274232</v>
      </c>
      <c r="C34" s="7">
        <v>23.33</v>
      </c>
      <c r="D34" s="8"/>
      <c r="E34" s="28">
        <v>5.3309374064091042</v>
      </c>
      <c r="F34" s="9"/>
      <c r="G34" s="15"/>
      <c r="H34" s="19"/>
      <c r="J34" s="12"/>
    </row>
    <row r="35" spans="1:10" x14ac:dyDescent="0.35">
      <c r="A35" s="6" t="s">
        <v>30</v>
      </c>
      <c r="B35" s="9">
        <v>23.474131961618362</v>
      </c>
      <c r="C35" s="7">
        <v>23.73</v>
      </c>
      <c r="D35" s="8"/>
      <c r="E35" s="28">
        <v>43.664061727173809</v>
      </c>
      <c r="F35" s="9"/>
      <c r="G35" s="15"/>
      <c r="H35" s="19"/>
      <c r="J35" s="12"/>
    </row>
    <row r="36" spans="1:10" x14ac:dyDescent="0.35">
      <c r="A36" s="6" t="s">
        <v>82</v>
      </c>
      <c r="B36" s="9">
        <v>40.608045859351009</v>
      </c>
      <c r="C36" s="7">
        <v>39.67</v>
      </c>
      <c r="D36" s="8"/>
      <c r="E36" s="28">
        <v>3.7465451939809604</v>
      </c>
      <c r="F36" s="9"/>
      <c r="G36" s="15"/>
      <c r="H36" s="19"/>
      <c r="J36" s="12"/>
    </row>
    <row r="37" spans="1:10" x14ac:dyDescent="0.35">
      <c r="A37" s="6" t="s">
        <v>99</v>
      </c>
      <c r="B37" s="9">
        <v>80.688355485022811</v>
      </c>
      <c r="C37" s="7">
        <v>81.349999999999994</v>
      </c>
      <c r="D37" s="8"/>
      <c r="E37" s="28">
        <v>2.1424320571315216</v>
      </c>
      <c r="F37" s="9"/>
      <c r="G37" s="15"/>
      <c r="H37" s="19"/>
      <c r="J37" s="12"/>
    </row>
    <row r="38" spans="1:10" x14ac:dyDescent="0.35">
      <c r="A38" s="6" t="s">
        <v>41</v>
      </c>
      <c r="B38" s="9">
        <v>88.800813008130078</v>
      </c>
      <c r="C38" s="7">
        <v>87.38</v>
      </c>
      <c r="D38" s="8"/>
      <c r="E38" s="28">
        <v>19.105691056910569</v>
      </c>
      <c r="F38" s="9"/>
      <c r="G38" s="15"/>
      <c r="H38" s="19"/>
      <c r="J38" s="12"/>
    </row>
    <row r="39" spans="1:10" x14ac:dyDescent="0.35">
      <c r="A39" s="6" t="s">
        <v>84</v>
      </c>
      <c r="B39" s="9">
        <v>79.539106145251409</v>
      </c>
      <c r="C39" s="7">
        <v>79.73</v>
      </c>
      <c r="D39" s="8"/>
      <c r="E39" s="28">
        <v>3.6113328012769355</v>
      </c>
      <c r="F39" s="9"/>
      <c r="G39" s="15"/>
      <c r="H39" s="19"/>
      <c r="J39" s="12"/>
    </row>
    <row r="40" spans="1:10" x14ac:dyDescent="0.35">
      <c r="A40" s="6" t="s">
        <v>6</v>
      </c>
      <c r="B40" s="9">
        <v>55.599154844551762</v>
      </c>
      <c r="C40" s="7">
        <v>55.26</v>
      </c>
      <c r="D40" s="8"/>
      <c r="E40" s="28">
        <v>3.8434450145889927</v>
      </c>
      <c r="F40" s="9"/>
      <c r="G40" s="15"/>
      <c r="H40" s="19"/>
      <c r="J40" s="12"/>
    </row>
    <row r="41" spans="1:10" x14ac:dyDescent="0.35">
      <c r="A41" s="6" t="s">
        <v>20</v>
      </c>
      <c r="B41" s="9">
        <v>191.14588491631176</v>
      </c>
      <c r="C41" s="7">
        <v>193</v>
      </c>
      <c r="D41" s="8"/>
      <c r="E41" s="28">
        <v>2.8820441715361</v>
      </c>
      <c r="F41" s="9"/>
      <c r="G41" s="15"/>
      <c r="H41" s="19"/>
      <c r="J41" s="12"/>
    </row>
    <row r="42" spans="1:10" x14ac:dyDescent="0.35">
      <c r="A42" s="6" t="s">
        <v>69</v>
      </c>
      <c r="B42" s="9">
        <v>26.255209366937883</v>
      </c>
      <c r="C42" s="7">
        <v>26.46</v>
      </c>
      <c r="D42" s="8"/>
      <c r="E42" s="28">
        <v>5.77495534828339</v>
      </c>
      <c r="F42" s="9"/>
      <c r="G42" s="15"/>
      <c r="H42" s="19"/>
      <c r="J42" s="12"/>
    </row>
    <row r="43" spans="1:10" x14ac:dyDescent="0.35">
      <c r="A43" s="6" t="s">
        <v>83</v>
      </c>
      <c r="B43" s="9">
        <v>29.103956942091095</v>
      </c>
      <c r="C43" s="7">
        <v>29.2</v>
      </c>
      <c r="D43" s="8"/>
      <c r="E43" s="28">
        <v>3.6080932921359512</v>
      </c>
      <c r="F43" s="9"/>
      <c r="G43" s="15"/>
      <c r="H43" s="19"/>
      <c r="J43" s="12"/>
    </row>
    <row r="44" spans="1:10" x14ac:dyDescent="0.35">
      <c r="A44" s="6" t="s">
        <v>76</v>
      </c>
      <c r="B44" s="9">
        <v>75.330132052821128</v>
      </c>
      <c r="C44" s="7">
        <v>75.3</v>
      </c>
      <c r="D44" s="8"/>
      <c r="E44" s="28">
        <v>4.7218887555022002</v>
      </c>
      <c r="F44" s="9"/>
      <c r="G44" s="15"/>
      <c r="H44" s="19"/>
      <c r="J44" s="12"/>
    </row>
    <row r="45" spans="1:10" x14ac:dyDescent="0.35">
      <c r="A45" s="6" t="s">
        <v>120</v>
      </c>
      <c r="B45" s="9">
        <v>3.7898801056695794</v>
      </c>
      <c r="C45" s="7">
        <v>3.73</v>
      </c>
      <c r="D45" s="8"/>
      <c r="E45" s="28">
        <v>0.32505588295061982</v>
      </c>
      <c r="F45" s="9"/>
      <c r="G45" s="15"/>
      <c r="H45" s="19"/>
      <c r="J45" s="12"/>
    </row>
    <row r="46" spans="1:10" x14ac:dyDescent="0.35">
      <c r="A46" s="6" t="s">
        <v>28</v>
      </c>
      <c r="B46" s="9">
        <v>19.290245836637592</v>
      </c>
      <c r="C46" s="7">
        <v>19.46</v>
      </c>
      <c r="D46" s="8"/>
      <c r="E46" s="28">
        <v>46.530531324345759</v>
      </c>
      <c r="F46" s="9"/>
      <c r="G46" s="15"/>
      <c r="H46" s="19"/>
      <c r="J46" s="12"/>
    </row>
    <row r="47" spans="1:10" x14ac:dyDescent="0.35">
      <c r="A47" s="6" t="s">
        <v>65</v>
      </c>
      <c r="B47" s="9">
        <v>108.25412706353177</v>
      </c>
      <c r="C47" s="7">
        <v>108.2</v>
      </c>
      <c r="D47" s="8"/>
      <c r="E47" s="28">
        <v>6.8234117058529264</v>
      </c>
      <c r="F47" s="9"/>
      <c r="G47" s="15"/>
      <c r="H47" s="19"/>
      <c r="J47" s="12"/>
    </row>
    <row r="48" spans="1:10" x14ac:dyDescent="0.35">
      <c r="A48" s="6" t="s">
        <v>67</v>
      </c>
      <c r="B48" s="9">
        <v>67.060662303409202</v>
      </c>
      <c r="C48" s="7">
        <v>68.650000000000006</v>
      </c>
      <c r="D48" s="8"/>
      <c r="E48" s="28">
        <v>5.9001660642766431</v>
      </c>
      <c r="F48" s="9"/>
      <c r="G48" s="15"/>
      <c r="H48" s="19"/>
      <c r="J48" s="12"/>
    </row>
    <row r="49" spans="1:10" x14ac:dyDescent="0.35">
      <c r="A49" s="6" t="s">
        <v>116</v>
      </c>
      <c r="B49" s="9">
        <v>36.280275092195751</v>
      </c>
      <c r="C49" s="7">
        <v>36.4</v>
      </c>
      <c r="D49" s="8"/>
      <c r="E49" s="28">
        <v>0.84802152895445027</v>
      </c>
      <c r="F49" s="9"/>
      <c r="G49" s="15"/>
      <c r="H49" s="19"/>
      <c r="J49" s="12"/>
    </row>
    <row r="50" spans="1:10" x14ac:dyDescent="0.35">
      <c r="A50" s="6" t="s">
        <v>71</v>
      </c>
      <c r="B50" s="9">
        <v>10.524725551415045</v>
      </c>
      <c r="C50" s="7">
        <v>10.45</v>
      </c>
      <c r="D50" s="8"/>
      <c r="E50" s="28">
        <v>5.7810454224997487</v>
      </c>
      <c r="F50" s="9"/>
      <c r="G50" s="15"/>
      <c r="H50" s="19"/>
      <c r="J50" s="12"/>
    </row>
    <row r="51" spans="1:10" x14ac:dyDescent="0.35">
      <c r="A51" s="6" t="s">
        <v>106</v>
      </c>
      <c r="B51" s="9">
        <v>41.921397379912662</v>
      </c>
      <c r="C51" s="7">
        <v>42.24</v>
      </c>
      <c r="D51" s="8"/>
      <c r="E51" s="28">
        <v>1.5581579992060341</v>
      </c>
      <c r="F51" s="9"/>
      <c r="G51" s="15"/>
      <c r="H51" s="19"/>
      <c r="J51" s="12"/>
    </row>
    <row r="52" spans="1:10" x14ac:dyDescent="0.35">
      <c r="A52" s="6" t="s">
        <v>93</v>
      </c>
      <c r="B52" s="9">
        <v>6.7520256076823042</v>
      </c>
      <c r="C52" s="7">
        <v>6.75</v>
      </c>
      <c r="D52" s="8"/>
      <c r="E52" s="28">
        <v>2.7908372511753528</v>
      </c>
      <c r="F52" s="9"/>
      <c r="G52" s="15"/>
      <c r="H52" s="19"/>
      <c r="J52" s="12"/>
    </row>
    <row r="53" spans="1:10" x14ac:dyDescent="0.35">
      <c r="A53" s="6" t="s">
        <v>15</v>
      </c>
      <c r="B53" s="9">
        <v>262.30408305880002</v>
      </c>
      <c r="C53" s="7">
        <v>262.75</v>
      </c>
      <c r="D53" s="8"/>
      <c r="E53" s="28">
        <v>27.692922032544672</v>
      </c>
      <c r="F53" s="9"/>
      <c r="G53" s="15"/>
      <c r="H53" s="19"/>
      <c r="J53" s="12"/>
    </row>
    <row r="54" spans="1:10" x14ac:dyDescent="0.35">
      <c r="A54" s="6" t="s">
        <v>77</v>
      </c>
      <c r="B54" s="9">
        <v>63.579750903977498</v>
      </c>
      <c r="C54" s="7">
        <v>63.3</v>
      </c>
      <c r="D54" s="8"/>
      <c r="E54" s="28">
        <v>4.7006830052229809</v>
      </c>
      <c r="F54" s="9"/>
      <c r="G54" s="15"/>
      <c r="H54" s="19"/>
      <c r="J54" s="12"/>
    </row>
    <row r="55" spans="1:10" x14ac:dyDescent="0.35">
      <c r="A55" s="6" t="s">
        <v>50</v>
      </c>
      <c r="B55" s="9">
        <v>195.99120263920827</v>
      </c>
      <c r="C55" s="7">
        <v>196.05</v>
      </c>
      <c r="D55" s="8"/>
      <c r="E55" s="28">
        <v>11.386584024792564</v>
      </c>
      <c r="F55" s="9"/>
      <c r="G55" s="15"/>
      <c r="H55" s="19"/>
      <c r="J55" s="12"/>
    </row>
    <row r="56" spans="1:10" x14ac:dyDescent="0.35">
      <c r="A56" s="6" t="s">
        <v>22</v>
      </c>
      <c r="B56" s="9">
        <v>60.197861496952143</v>
      </c>
      <c r="C56" s="7">
        <v>60.24</v>
      </c>
      <c r="D56" s="8"/>
      <c r="E56" s="28">
        <v>4.5867892475267311</v>
      </c>
      <c r="F56" s="9"/>
      <c r="G56" s="15"/>
      <c r="H56" s="19"/>
      <c r="J56" s="12"/>
    </row>
    <row r="57" spans="1:10" x14ac:dyDescent="0.35">
      <c r="A57" s="6" t="s">
        <v>75</v>
      </c>
      <c r="B57" s="9">
        <v>84.817488969113512</v>
      </c>
      <c r="C57" s="7">
        <v>84.58</v>
      </c>
      <c r="D57" s="8"/>
      <c r="E57" s="28">
        <v>4.7733654231849174</v>
      </c>
      <c r="F57" s="9"/>
      <c r="G57" s="15"/>
      <c r="H57" s="19"/>
      <c r="J57" s="12"/>
    </row>
    <row r="58" spans="1:10" x14ac:dyDescent="0.35">
      <c r="A58" s="6" t="s">
        <v>85</v>
      </c>
      <c r="B58" s="9">
        <v>42.123804730749875</v>
      </c>
      <c r="C58" s="7">
        <v>41.85</v>
      </c>
      <c r="D58" s="8"/>
      <c r="E58" s="28">
        <v>3.4927025666834424</v>
      </c>
      <c r="F58" s="9"/>
      <c r="G58" s="15"/>
      <c r="H58" s="19"/>
      <c r="J58" s="12"/>
    </row>
    <row r="59" spans="1:10" x14ac:dyDescent="0.35">
      <c r="A59" s="6" t="s">
        <v>114</v>
      </c>
      <c r="B59" s="9">
        <v>22.81953376205788</v>
      </c>
      <c r="C59" s="7">
        <v>22.71</v>
      </c>
      <c r="D59" s="8"/>
      <c r="E59" s="28">
        <v>1.034967845659164</v>
      </c>
      <c r="F59" s="9"/>
      <c r="G59" s="15"/>
      <c r="H59" s="19"/>
      <c r="J59" s="12"/>
    </row>
    <row r="60" spans="1:10" x14ac:dyDescent="0.35">
      <c r="A60" s="6" t="s">
        <v>68</v>
      </c>
      <c r="B60" s="9">
        <v>26.954232482786555</v>
      </c>
      <c r="C60" s="7">
        <v>26.62</v>
      </c>
      <c r="D60" s="8"/>
      <c r="E60" s="28">
        <v>6.0247063588497367</v>
      </c>
      <c r="F60" s="9"/>
      <c r="G60" s="15"/>
      <c r="H60" s="19"/>
      <c r="J60" s="12"/>
    </row>
    <row r="61" spans="1:10" x14ac:dyDescent="0.35">
      <c r="A61" s="6" t="s">
        <v>38</v>
      </c>
      <c r="B61" s="9">
        <v>162.79649192744665</v>
      </c>
      <c r="C61" s="7">
        <v>163.35</v>
      </c>
      <c r="D61" s="8"/>
      <c r="E61" s="28">
        <v>20.550129559497709</v>
      </c>
      <c r="F61" s="9"/>
      <c r="G61" s="15"/>
      <c r="H61" s="19"/>
      <c r="J61" s="12"/>
    </row>
    <row r="62" spans="1:10" x14ac:dyDescent="0.35">
      <c r="A62" s="6" t="s">
        <v>21</v>
      </c>
      <c r="B62" s="9">
        <v>35.175175175175177</v>
      </c>
      <c r="C62" s="7">
        <v>35.14</v>
      </c>
      <c r="D62" s="8"/>
      <c r="E62" s="28">
        <v>7.0170170170170172</v>
      </c>
      <c r="F62" s="9"/>
      <c r="G62" s="15"/>
      <c r="H62" s="19"/>
      <c r="J62" s="12"/>
    </row>
    <row r="63" spans="1:10" x14ac:dyDescent="0.35">
      <c r="A63" s="6" t="s">
        <v>96</v>
      </c>
      <c r="B63" s="9">
        <v>29.349894821196035</v>
      </c>
      <c r="C63" s="7">
        <v>29.3</v>
      </c>
      <c r="D63" s="8"/>
      <c r="E63" s="28">
        <v>2.3239507162175697</v>
      </c>
      <c r="F63" s="9"/>
      <c r="G63" s="15"/>
      <c r="H63" s="19"/>
      <c r="J63" s="12"/>
    </row>
    <row r="64" spans="1:10" x14ac:dyDescent="0.35">
      <c r="A64" s="6" t="s">
        <v>45</v>
      </c>
      <c r="B64" s="9">
        <v>58.489795918367349</v>
      </c>
      <c r="C64" s="7">
        <v>57.32</v>
      </c>
      <c r="D64" s="8"/>
      <c r="E64" s="28">
        <v>16.80612244897959</v>
      </c>
      <c r="F64" s="9"/>
      <c r="G64" s="15"/>
      <c r="H64" s="19"/>
      <c r="J64" s="12"/>
    </row>
    <row r="65" spans="1:10" x14ac:dyDescent="0.35">
      <c r="A65" s="6" t="s">
        <v>91</v>
      </c>
      <c r="B65" s="9">
        <v>22.364344958529031</v>
      </c>
      <c r="C65" s="7">
        <v>22.38</v>
      </c>
      <c r="D65" s="8"/>
      <c r="E65" s="28">
        <v>2.9279504346957133</v>
      </c>
      <c r="F65" s="9"/>
      <c r="G65" s="15"/>
      <c r="H65" s="19"/>
      <c r="J65" s="12"/>
    </row>
    <row r="66" spans="1:10" x14ac:dyDescent="0.35">
      <c r="A66" s="6" t="s">
        <v>51</v>
      </c>
      <c r="B66" s="9">
        <v>42.548880559213863</v>
      </c>
      <c r="C66" s="7">
        <v>42</v>
      </c>
      <c r="D66" s="8"/>
      <c r="E66" s="28">
        <v>11.265322662344239</v>
      </c>
      <c r="F66" s="9"/>
      <c r="G66" s="15"/>
      <c r="H66" s="19"/>
      <c r="J66" s="12"/>
    </row>
    <row r="67" spans="1:10" x14ac:dyDescent="0.35">
      <c r="A67" s="6" t="s">
        <v>0</v>
      </c>
      <c r="B67" s="9">
        <v>134.80392156862746</v>
      </c>
      <c r="C67" s="7">
        <v>134.75</v>
      </c>
      <c r="D67" s="8"/>
      <c r="E67" s="28">
        <v>75.300120048019195</v>
      </c>
      <c r="F67" s="9"/>
      <c r="G67" s="15"/>
      <c r="H67" s="19"/>
      <c r="J67" s="12"/>
    </row>
    <row r="68" spans="1:10" x14ac:dyDescent="0.35">
      <c r="A68" s="6" t="s">
        <v>26</v>
      </c>
      <c r="B68" s="9">
        <v>143.79841062267377</v>
      </c>
      <c r="C68" s="7">
        <v>142.94999999999999</v>
      </c>
      <c r="D68" s="8"/>
      <c r="E68" s="28">
        <v>73.00070415451161</v>
      </c>
      <c r="F68" s="9"/>
      <c r="G68" s="15"/>
      <c r="H68" s="19"/>
      <c r="J68" s="12"/>
    </row>
    <row r="69" spans="1:10" x14ac:dyDescent="0.35">
      <c r="A69" s="6" t="s">
        <v>102</v>
      </c>
      <c r="B69" s="9">
        <v>15.224534501642935</v>
      </c>
      <c r="C69" s="7">
        <v>15.29</v>
      </c>
      <c r="D69" s="8"/>
      <c r="E69" s="28">
        <v>1.9217365329084934</v>
      </c>
      <c r="F69" s="10"/>
      <c r="G69" s="15"/>
      <c r="H69" s="19"/>
      <c r="J69" s="12"/>
    </row>
    <row r="70" spans="1:10" x14ac:dyDescent="0.35">
      <c r="A70" s="6" t="s">
        <v>115</v>
      </c>
      <c r="B70" s="9">
        <v>8.622974212618491</v>
      </c>
      <c r="C70" s="7">
        <v>8.4600000000000009</v>
      </c>
      <c r="D70" s="8"/>
      <c r="E70" s="28">
        <v>1.0498420140658444</v>
      </c>
      <c r="F70" s="9"/>
      <c r="G70" s="15"/>
      <c r="H70" s="19"/>
      <c r="J70" s="12"/>
    </row>
    <row r="71" spans="1:10" x14ac:dyDescent="0.35">
      <c r="A71" s="6" t="s">
        <v>103</v>
      </c>
      <c r="B71" s="9">
        <v>18.105709098244905</v>
      </c>
      <c r="C71" s="7">
        <v>17.95</v>
      </c>
      <c r="D71" s="8"/>
      <c r="E71" s="28">
        <v>1.6643130925963283</v>
      </c>
      <c r="F71" s="10"/>
      <c r="G71" s="15"/>
      <c r="H71" s="19"/>
      <c r="J71" s="12"/>
    </row>
    <row r="72" spans="1:10" x14ac:dyDescent="0.35">
      <c r="A72" s="6" t="s">
        <v>46</v>
      </c>
      <c r="B72" s="9">
        <v>74.697590722783161</v>
      </c>
      <c r="C72" s="7">
        <v>74.72</v>
      </c>
      <c r="D72" s="8"/>
      <c r="E72" s="28">
        <v>13.855843247025891</v>
      </c>
      <c r="F72" s="9"/>
      <c r="G72" s="15"/>
      <c r="H72" s="19"/>
      <c r="J72" s="12"/>
    </row>
    <row r="73" spans="1:10" x14ac:dyDescent="0.35">
      <c r="A73" s="6" t="s">
        <v>117</v>
      </c>
      <c r="B73" s="9">
        <v>64.50093237805477</v>
      </c>
      <c r="C73" s="7">
        <v>65.72</v>
      </c>
      <c r="D73" s="8"/>
      <c r="E73" s="28">
        <v>0.69549514181960936</v>
      </c>
      <c r="F73" s="9"/>
      <c r="G73" s="15"/>
      <c r="H73" s="19"/>
      <c r="J73" s="12"/>
    </row>
    <row r="74" spans="1:10" x14ac:dyDescent="0.35">
      <c r="A74" s="6" t="s">
        <v>43</v>
      </c>
      <c r="B74" s="9">
        <v>5.514816675037669</v>
      </c>
      <c r="C74" s="7">
        <v>5.49</v>
      </c>
      <c r="D74" s="8"/>
      <c r="E74" s="28">
        <v>17.197388247112006</v>
      </c>
      <c r="F74" s="9"/>
      <c r="G74" s="15"/>
      <c r="H74" s="19"/>
      <c r="J74" s="12"/>
    </row>
    <row r="75" spans="1:10" x14ac:dyDescent="0.35">
      <c r="A75" s="6" t="s">
        <v>101</v>
      </c>
      <c r="B75" s="9">
        <v>56.41922269957039</v>
      </c>
      <c r="C75" s="7">
        <v>56.47</v>
      </c>
      <c r="D75" s="8"/>
      <c r="E75" s="28">
        <v>1.9482465780797285</v>
      </c>
      <c r="F75" s="10"/>
      <c r="G75" s="15"/>
      <c r="H75" s="19"/>
      <c r="J75" s="12"/>
    </row>
    <row r="76" spans="1:10" x14ac:dyDescent="0.35">
      <c r="A76" s="6" t="s">
        <v>113</v>
      </c>
      <c r="B76" s="9">
        <v>27.089567125473771</v>
      </c>
      <c r="C76" s="7">
        <v>27.16</v>
      </c>
      <c r="D76" s="8"/>
      <c r="E76" s="28">
        <v>1.1370436864153202</v>
      </c>
      <c r="F76" s="9"/>
      <c r="G76" s="15"/>
      <c r="H76" s="19"/>
      <c r="J76" s="12"/>
    </row>
    <row r="77" spans="1:10" x14ac:dyDescent="0.35">
      <c r="A77" s="6" t="s">
        <v>9</v>
      </c>
      <c r="B77" s="9">
        <v>28.994677111579794</v>
      </c>
      <c r="C77" s="7">
        <v>28.87</v>
      </c>
      <c r="D77" s="8"/>
      <c r="E77" s="28">
        <v>1.5667369689665562</v>
      </c>
      <c r="F77" s="9"/>
      <c r="G77" s="15"/>
      <c r="H77" s="19"/>
      <c r="J77" s="12"/>
    </row>
    <row r="78" spans="1:10" x14ac:dyDescent="0.35">
      <c r="A78" s="6" t="s">
        <v>48</v>
      </c>
      <c r="B78" s="9">
        <v>33.115856069592724</v>
      </c>
      <c r="C78" s="7">
        <v>33.5</v>
      </c>
      <c r="D78" s="8"/>
      <c r="E78" s="28">
        <v>12.900355871886122</v>
      </c>
      <c r="F78" s="9"/>
      <c r="G78" s="15"/>
      <c r="H78" s="19"/>
      <c r="J78" s="12"/>
    </row>
    <row r="79" spans="1:10" x14ac:dyDescent="0.35">
      <c r="A79" s="6" t="s">
        <v>32</v>
      </c>
      <c r="B79" s="9">
        <v>13.830542871638762</v>
      </c>
      <c r="C79" s="7">
        <v>13.63</v>
      </c>
      <c r="D79" s="8"/>
      <c r="E79" s="28">
        <v>36.631151699644853</v>
      </c>
      <c r="F79" s="9"/>
      <c r="G79" s="15"/>
      <c r="H79" s="19"/>
      <c r="J79" s="12"/>
    </row>
    <row r="80" spans="1:10" x14ac:dyDescent="0.35">
      <c r="A80" s="6" t="s">
        <v>94</v>
      </c>
      <c r="B80" s="9">
        <v>50.467665694458418</v>
      </c>
      <c r="C80" s="7">
        <v>50.18</v>
      </c>
      <c r="D80" s="8"/>
      <c r="E80" s="28">
        <v>2.805994166750478</v>
      </c>
      <c r="F80" s="9"/>
      <c r="G80" s="15"/>
      <c r="H80" s="19"/>
      <c r="J80" s="12"/>
    </row>
    <row r="81" spans="1:10" x14ac:dyDescent="0.35">
      <c r="A81" s="6" t="s">
        <v>36</v>
      </c>
      <c r="B81" s="9">
        <v>93.386773547094194</v>
      </c>
      <c r="C81" s="7">
        <v>93.2</v>
      </c>
      <c r="D81" s="8"/>
      <c r="E81" s="28">
        <v>24.789579158316631</v>
      </c>
      <c r="F81" s="9"/>
      <c r="G81" s="15"/>
      <c r="H81" s="19"/>
      <c r="J81" s="12"/>
    </row>
    <row r="82" spans="1:10" x14ac:dyDescent="0.35">
      <c r="A82" s="6" t="s">
        <v>11</v>
      </c>
      <c r="B82" s="9">
        <v>10.090180360721444</v>
      </c>
      <c r="C82" s="7">
        <v>10.07</v>
      </c>
      <c r="D82" s="8"/>
      <c r="E82" s="28">
        <v>7.895791583166333</v>
      </c>
      <c r="F82" s="9"/>
      <c r="G82" s="15"/>
      <c r="H82" s="19"/>
      <c r="J82" s="12"/>
    </row>
    <row r="83" spans="1:10" x14ac:dyDescent="0.35">
      <c r="A83" s="6" t="s">
        <v>90</v>
      </c>
      <c r="B83" s="9">
        <v>20.599175630843469</v>
      </c>
      <c r="C83" s="7">
        <v>20.49</v>
      </c>
      <c r="D83" s="8"/>
      <c r="E83" s="28">
        <v>3.1667839549612946</v>
      </c>
      <c r="F83" s="9"/>
      <c r="G83" s="15"/>
      <c r="H83" s="19"/>
      <c r="J83" s="12"/>
    </row>
    <row r="84" spans="1:10" x14ac:dyDescent="0.35">
      <c r="A84" s="6" t="s">
        <v>49</v>
      </c>
      <c r="B84" s="9">
        <v>58.350972684205225</v>
      </c>
      <c r="C84" s="7">
        <v>57.89</v>
      </c>
      <c r="D84" s="8"/>
      <c r="E84" s="28">
        <v>12.891845580082652</v>
      </c>
      <c r="F84" s="9"/>
      <c r="G84" s="15"/>
      <c r="H84" s="19"/>
      <c r="J84" s="12"/>
    </row>
    <row r="85" spans="1:10" x14ac:dyDescent="0.35">
      <c r="A85" s="6" t="s">
        <v>92</v>
      </c>
      <c r="B85" s="9">
        <v>58.347470312344079</v>
      </c>
      <c r="C85" s="7">
        <v>58.47</v>
      </c>
      <c r="D85" s="8"/>
      <c r="E85" s="28">
        <v>2.8440275421614611</v>
      </c>
      <c r="F85" s="9"/>
      <c r="G85" s="15"/>
      <c r="H85" s="19"/>
      <c r="J85" s="12"/>
    </row>
    <row r="86" spans="1:10" x14ac:dyDescent="0.35">
      <c r="A86" s="6" t="s">
        <v>40</v>
      </c>
      <c r="B86" s="9">
        <v>64.019627478469857</v>
      </c>
      <c r="C86" s="7">
        <v>63.93</v>
      </c>
      <c r="D86" s="8"/>
      <c r="E86" s="28">
        <v>18.936511115561785</v>
      </c>
      <c r="F86" s="9"/>
      <c r="G86" s="15"/>
      <c r="H86" s="19"/>
      <c r="J86" s="12"/>
    </row>
    <row r="87" spans="1:10" x14ac:dyDescent="0.35">
      <c r="A87" s="6" t="s">
        <v>79</v>
      </c>
      <c r="B87" s="9">
        <v>14.645058659773316</v>
      </c>
      <c r="C87" s="7">
        <v>14.73</v>
      </c>
      <c r="D87" s="8"/>
      <c r="E87" s="28">
        <v>4.2752038178564327</v>
      </c>
      <c r="F87" s="9"/>
      <c r="G87" s="15"/>
      <c r="H87" s="19"/>
      <c r="J87" s="12"/>
    </row>
    <row r="88" spans="1:10" x14ac:dyDescent="0.35">
      <c r="A88" s="6" t="s">
        <v>19</v>
      </c>
      <c r="B88" s="9">
        <v>47.605746209098164</v>
      </c>
      <c r="C88" s="7">
        <v>47.72</v>
      </c>
      <c r="D88" s="8"/>
      <c r="E88" s="28">
        <v>1.8455706304868318</v>
      </c>
      <c r="F88" s="10"/>
      <c r="G88" s="15"/>
      <c r="H88" s="19"/>
      <c r="J88" s="12"/>
    </row>
    <row r="89" spans="1:10" x14ac:dyDescent="0.35">
      <c r="A89" s="6" t="s">
        <v>10</v>
      </c>
      <c r="B89" s="9">
        <v>52.559174590329761</v>
      </c>
      <c r="C89" s="7">
        <v>51.96</v>
      </c>
      <c r="D89" s="8"/>
      <c r="E89" s="28">
        <v>21.919886708476636</v>
      </c>
      <c r="F89" s="9"/>
      <c r="G89" s="15"/>
      <c r="H89" s="19"/>
      <c r="J89" s="12"/>
    </row>
    <row r="90" spans="1:10" x14ac:dyDescent="0.35">
      <c r="A90" s="6" t="s">
        <v>16</v>
      </c>
      <c r="B90" s="9">
        <v>25.699693564862105</v>
      </c>
      <c r="C90" s="7">
        <v>25.16</v>
      </c>
      <c r="D90" s="8"/>
      <c r="E90" s="28">
        <v>0.67645556690500508</v>
      </c>
      <c r="F90" s="9"/>
      <c r="G90" s="15"/>
      <c r="H90" s="19"/>
      <c r="J90" s="12"/>
    </row>
    <row r="91" spans="1:10" x14ac:dyDescent="0.35">
      <c r="A91" s="6" t="s">
        <v>37</v>
      </c>
      <c r="B91" s="9">
        <v>36.999086943289029</v>
      </c>
      <c r="C91" s="7">
        <v>36.47</v>
      </c>
      <c r="D91" s="8"/>
      <c r="E91" s="28">
        <v>21.010449426803287</v>
      </c>
      <c r="F91" s="9"/>
      <c r="G91" s="15"/>
      <c r="H91" s="19"/>
      <c r="J91" s="12"/>
    </row>
    <row r="92" spans="1:10" x14ac:dyDescent="0.35">
      <c r="A92" s="6" t="s">
        <v>25</v>
      </c>
      <c r="B92" s="9">
        <v>76.201395812562325</v>
      </c>
      <c r="C92" s="7">
        <v>76.430000000000007</v>
      </c>
      <c r="D92" s="8"/>
      <c r="E92" s="28">
        <v>101.11665004985046</v>
      </c>
      <c r="F92" s="9"/>
      <c r="G92" s="15"/>
      <c r="H92" s="19"/>
      <c r="J92" s="12"/>
    </row>
    <row r="93" spans="1:10" x14ac:dyDescent="0.35">
      <c r="A93" s="6" t="s">
        <v>97</v>
      </c>
      <c r="B93" s="9">
        <v>150.00500851447461</v>
      </c>
      <c r="C93" s="7">
        <v>149.75</v>
      </c>
      <c r="D93" s="8"/>
      <c r="E93" s="28">
        <v>2.3039166583191424</v>
      </c>
      <c r="F93" s="9"/>
      <c r="G93" s="15"/>
      <c r="H93" s="19"/>
      <c r="J93" s="12"/>
    </row>
    <row r="94" spans="1:10" x14ac:dyDescent="0.35">
      <c r="A94" s="6" t="s">
        <v>13</v>
      </c>
      <c r="B94" s="9">
        <v>66.00120385232745</v>
      </c>
      <c r="C94" s="7">
        <v>65.790000000000006</v>
      </c>
      <c r="D94" s="8"/>
      <c r="E94" s="28">
        <v>38.513242375601926</v>
      </c>
      <c r="F94" s="9"/>
      <c r="G94" s="15"/>
      <c r="H94" s="19"/>
      <c r="J94" s="12"/>
    </row>
    <row r="95" spans="1:10" x14ac:dyDescent="0.35">
      <c r="A95" s="6" t="s">
        <v>74</v>
      </c>
      <c r="B95" s="9">
        <v>24.799206742687161</v>
      </c>
      <c r="C95" s="7">
        <v>25.01</v>
      </c>
      <c r="D95" s="8"/>
      <c r="E95" s="28">
        <v>4.7595438770451164</v>
      </c>
      <c r="F95" s="9"/>
      <c r="G95" s="15"/>
      <c r="H95" s="19"/>
      <c r="J95" s="12"/>
    </row>
    <row r="96" spans="1:10" x14ac:dyDescent="0.35">
      <c r="A96" s="6" t="s">
        <v>88</v>
      </c>
      <c r="B96" s="9">
        <v>65.946977304679649</v>
      </c>
      <c r="C96" s="7">
        <v>65.67</v>
      </c>
      <c r="D96" s="8"/>
      <c r="E96" s="28">
        <v>3.3038762803775859</v>
      </c>
      <c r="F96" s="9"/>
      <c r="G96" s="15"/>
      <c r="H96" s="19"/>
      <c r="J96" s="12"/>
    </row>
    <row r="97" spans="1:10" x14ac:dyDescent="0.35">
      <c r="A97" s="6" t="s">
        <v>53</v>
      </c>
      <c r="B97" s="9">
        <v>29.504890591912879</v>
      </c>
      <c r="C97" s="7">
        <v>29.26</v>
      </c>
      <c r="D97" s="8"/>
      <c r="E97" s="28">
        <v>9.9626903297368159</v>
      </c>
      <c r="F97" s="9"/>
      <c r="G97" s="15"/>
      <c r="H97" s="19"/>
      <c r="J97" s="12"/>
    </row>
    <row r="98" spans="1:10" x14ac:dyDescent="0.35">
      <c r="A98" s="6" t="s">
        <v>33</v>
      </c>
      <c r="B98" s="9">
        <v>39.499598070739552</v>
      </c>
      <c r="C98" s="7">
        <v>39.31</v>
      </c>
      <c r="D98" s="8"/>
      <c r="E98" s="28">
        <v>31.802652733118972</v>
      </c>
      <c r="F98" s="9"/>
      <c r="G98" s="15"/>
      <c r="H98" s="19"/>
      <c r="J98" s="12"/>
    </row>
    <row r="99" spans="1:10" x14ac:dyDescent="0.35">
      <c r="A99" s="6" t="s">
        <v>3</v>
      </c>
      <c r="B99" s="9">
        <v>79.873835986782808</v>
      </c>
      <c r="C99" s="7">
        <v>79.77</v>
      </c>
      <c r="D99" s="8"/>
      <c r="E99" s="28">
        <v>12.546310203264243</v>
      </c>
      <c r="F99" s="9"/>
      <c r="G99" s="15"/>
      <c r="H99" s="19"/>
      <c r="J99" s="12"/>
    </row>
    <row r="100" spans="1:10" x14ac:dyDescent="0.35">
      <c r="A100" s="6" t="s">
        <v>119</v>
      </c>
      <c r="B100" s="9">
        <v>2.0999416682869922</v>
      </c>
      <c r="C100" s="7">
        <v>2.16</v>
      </c>
      <c r="D100" s="8"/>
      <c r="E100" s="28">
        <v>0.47266187050359715</v>
      </c>
      <c r="F100" s="9"/>
      <c r="G100" s="15"/>
      <c r="H100" s="19"/>
      <c r="J100" s="12"/>
    </row>
    <row r="101" spans="1:10" x14ac:dyDescent="0.35">
      <c r="A101" s="6" t="s">
        <v>118</v>
      </c>
      <c r="B101" s="9">
        <v>0.58502726822012885</v>
      </c>
      <c r="C101" s="7">
        <v>0.59</v>
      </c>
      <c r="D101" s="8"/>
      <c r="E101" s="28">
        <v>0.67964303420922156</v>
      </c>
      <c r="F101" s="9"/>
      <c r="G101" s="15"/>
      <c r="H101" s="19"/>
      <c r="J101" s="12"/>
    </row>
    <row r="102" spans="1:10" x14ac:dyDescent="0.35">
      <c r="A102" s="6" t="s">
        <v>55</v>
      </c>
      <c r="B102" s="9">
        <v>111.7052881758764</v>
      </c>
      <c r="C102" s="7">
        <v>112.8</v>
      </c>
      <c r="D102" s="8"/>
      <c r="E102" s="28">
        <v>9.4573182808476925</v>
      </c>
      <c r="F102" s="9"/>
      <c r="G102" s="15"/>
      <c r="H102" s="19"/>
      <c r="J102" s="12"/>
    </row>
    <row r="103" spans="1:10" x14ac:dyDescent="0.35">
      <c r="A103" s="6" t="s">
        <v>112</v>
      </c>
      <c r="B103" s="9">
        <v>62.5</v>
      </c>
      <c r="C103" s="7">
        <v>64.55</v>
      </c>
      <c r="D103" s="8"/>
      <c r="E103" s="28">
        <v>1.2199845081332301</v>
      </c>
      <c r="F103" s="9"/>
      <c r="G103" s="15"/>
      <c r="H103" s="19"/>
      <c r="J103" s="12"/>
    </row>
    <row r="104" spans="1:10" x14ac:dyDescent="0.35">
      <c r="A104" s="6" t="s">
        <v>23</v>
      </c>
      <c r="B104" s="9">
        <v>5.9741819273491448</v>
      </c>
      <c r="C104" s="7">
        <v>5.97</v>
      </c>
      <c r="D104" s="8"/>
      <c r="E104" s="28">
        <v>5.4438106674672273</v>
      </c>
      <c r="F104" s="9"/>
      <c r="G104" s="15"/>
      <c r="H104" s="19"/>
      <c r="J104" s="12"/>
    </row>
    <row r="105" spans="1:10" x14ac:dyDescent="0.35">
      <c r="A105" s="6" t="s">
        <v>64</v>
      </c>
      <c r="B105" s="9">
        <v>13.85530227948464</v>
      </c>
      <c r="C105" s="7">
        <v>13.98</v>
      </c>
      <c r="D105" s="8"/>
      <c r="E105" s="28">
        <v>7.4826560951437076</v>
      </c>
      <c r="F105" s="9"/>
      <c r="G105" s="15"/>
      <c r="H105" s="19"/>
      <c r="J105" s="12"/>
    </row>
    <row r="106" spans="1:10" x14ac:dyDescent="0.35">
      <c r="A106" s="6" t="s">
        <v>110</v>
      </c>
      <c r="B106" s="9">
        <v>21.130417415618133</v>
      </c>
      <c r="C106" s="7">
        <v>21.16</v>
      </c>
      <c r="D106" s="8"/>
      <c r="E106" s="28">
        <v>1.348112642300779</v>
      </c>
      <c r="F106" s="9"/>
      <c r="G106" s="15"/>
      <c r="H106" s="19"/>
      <c r="J106" s="12"/>
    </row>
    <row r="107" spans="1:10" x14ac:dyDescent="0.35">
      <c r="A107" s="6" t="s">
        <v>104</v>
      </c>
      <c r="B107" s="9">
        <v>4.7637834105927608</v>
      </c>
      <c r="C107" s="7">
        <v>4.83</v>
      </c>
      <c r="D107" s="8"/>
      <c r="E107" s="28">
        <v>1.5977907091429135</v>
      </c>
      <c r="F107" s="9"/>
      <c r="G107" s="15"/>
      <c r="H107" s="19"/>
      <c r="J107" s="12"/>
    </row>
    <row r="108" spans="1:10" x14ac:dyDescent="0.35">
      <c r="A108" s="6" t="s">
        <v>66</v>
      </c>
      <c r="B108" s="9">
        <v>57.399794450154168</v>
      </c>
      <c r="C108" s="7">
        <v>55.85</v>
      </c>
      <c r="D108" s="8"/>
      <c r="E108" s="28">
        <v>6.5364850976361772</v>
      </c>
      <c r="F108" s="9"/>
      <c r="G108" s="15"/>
      <c r="H108" s="19"/>
      <c r="J108" s="12"/>
    </row>
    <row r="109" spans="1:10" x14ac:dyDescent="0.35">
      <c r="A109" s="6" t="s">
        <v>89</v>
      </c>
      <c r="B109" s="9">
        <v>56.180914714531994</v>
      </c>
      <c r="C109" s="7">
        <v>55.4</v>
      </c>
      <c r="D109" s="8"/>
      <c r="E109" s="28">
        <v>3.2146841091167224</v>
      </c>
      <c r="F109" s="9"/>
      <c r="G109" s="15"/>
      <c r="H109" s="19"/>
      <c r="J109" s="12"/>
    </row>
    <row r="110" spans="1:10" x14ac:dyDescent="0.35">
      <c r="A110" s="6" t="s">
        <v>95</v>
      </c>
      <c r="B110" s="9">
        <v>12.7896479085164</v>
      </c>
      <c r="C110" s="7">
        <v>12.75</v>
      </c>
      <c r="D110" s="8"/>
      <c r="E110" s="28">
        <v>2.6983649312869895</v>
      </c>
      <c r="F110" s="9"/>
      <c r="G110" s="15"/>
      <c r="H110" s="19"/>
      <c r="J110" s="12"/>
    </row>
    <row r="111" spans="1:10" x14ac:dyDescent="0.35">
      <c r="A111" s="6" t="s">
        <v>57</v>
      </c>
      <c r="B111" s="9">
        <v>43.099830118916763</v>
      </c>
      <c r="C111" s="7">
        <v>43.13</v>
      </c>
      <c r="D111" s="8"/>
      <c r="E111" s="28">
        <v>8.9137603677425812</v>
      </c>
      <c r="F111" s="9"/>
      <c r="G111" s="15"/>
      <c r="H111" s="19"/>
      <c r="J111" s="12"/>
    </row>
    <row r="112" spans="1:10" x14ac:dyDescent="0.35">
      <c r="A112" s="6" t="s">
        <v>8</v>
      </c>
      <c r="B112" s="9">
        <v>47.692154321603027</v>
      </c>
      <c r="C112" s="20">
        <v>47.84</v>
      </c>
      <c r="D112" s="21"/>
      <c r="E112" s="28">
        <v>113.41840295085234</v>
      </c>
      <c r="F112" s="9"/>
      <c r="G112" s="15"/>
      <c r="H112" s="19"/>
      <c r="J112" s="12"/>
    </row>
    <row r="113" spans="1:10" x14ac:dyDescent="0.35">
      <c r="A113" s="6" t="s">
        <v>108</v>
      </c>
      <c r="B113" s="9">
        <v>14.19987983176447</v>
      </c>
      <c r="C113" s="7">
        <v>14.18</v>
      </c>
      <c r="D113" s="8"/>
      <c r="E113" s="28">
        <v>1.5321450030042059</v>
      </c>
      <c r="F113" s="9"/>
      <c r="G113" s="15"/>
      <c r="H113" s="19"/>
      <c r="J113" s="12"/>
    </row>
    <row r="114" spans="1:10" x14ac:dyDescent="0.35">
      <c r="A114" s="6" t="s">
        <v>39</v>
      </c>
      <c r="B114" s="9">
        <v>207.34156874560608</v>
      </c>
      <c r="C114" s="7">
        <v>206.45</v>
      </c>
      <c r="D114" s="8"/>
      <c r="E114" s="28">
        <v>20.327407853771213</v>
      </c>
      <c r="F114" s="9"/>
      <c r="G114" s="15"/>
      <c r="H114" s="19"/>
      <c r="J114" s="12"/>
    </row>
    <row r="115" spans="1:10" x14ac:dyDescent="0.35">
      <c r="A115" s="6" t="s">
        <v>63</v>
      </c>
      <c r="B115" s="9">
        <v>97.995812144780146</v>
      </c>
      <c r="C115" s="7">
        <v>98.28</v>
      </c>
      <c r="D115" s="8"/>
      <c r="E115" s="28">
        <v>7.7874164921726994</v>
      </c>
      <c r="F115" s="9"/>
      <c r="G115" s="15"/>
      <c r="H115" s="19"/>
      <c r="J115" s="12"/>
    </row>
    <row r="116" spans="1:10" x14ac:dyDescent="0.35">
      <c r="A116" s="6" t="s">
        <v>80</v>
      </c>
      <c r="B116" s="9">
        <v>30.161506017899395</v>
      </c>
      <c r="C116" s="7">
        <v>29.32</v>
      </c>
      <c r="D116" s="8"/>
      <c r="E116" s="28">
        <v>3.878201831087337</v>
      </c>
      <c r="F116" s="9"/>
      <c r="G116" s="15"/>
      <c r="H116" s="19"/>
      <c r="J116" s="12"/>
    </row>
    <row r="117" spans="1:10" x14ac:dyDescent="0.35">
      <c r="A117" s="6" t="s">
        <v>61</v>
      </c>
      <c r="B117" s="9">
        <v>14.355449292687787</v>
      </c>
      <c r="C117" s="7">
        <v>14.41</v>
      </c>
      <c r="D117" s="8"/>
      <c r="E117" s="28">
        <v>8.0693365212193662</v>
      </c>
      <c r="F117" s="9"/>
      <c r="G117" s="15"/>
      <c r="H117" s="19"/>
      <c r="J117" s="12"/>
    </row>
    <row r="118" spans="1:10" x14ac:dyDescent="0.35">
      <c r="A118" s="6" t="s">
        <v>1</v>
      </c>
      <c r="B118" s="9">
        <v>59.100449775112452</v>
      </c>
      <c r="C118" s="7">
        <v>59.13</v>
      </c>
      <c r="D118" s="8"/>
      <c r="E118" s="28">
        <v>2.6486756621689156</v>
      </c>
      <c r="F118" s="9"/>
      <c r="G118" s="15"/>
      <c r="H118" s="19"/>
      <c r="J118" s="12"/>
    </row>
    <row r="119" spans="1:10" x14ac:dyDescent="0.35">
      <c r="A119" s="6" t="s">
        <v>105</v>
      </c>
      <c r="B119" s="9">
        <v>84.500251130085388</v>
      </c>
      <c r="C119" s="7">
        <v>84.12</v>
      </c>
      <c r="D119" s="8"/>
      <c r="E119" s="28">
        <v>1.5971873430436967</v>
      </c>
      <c r="F119" s="9"/>
      <c r="G119" s="15"/>
      <c r="H119" s="19"/>
      <c r="J119" s="12"/>
    </row>
    <row r="120" spans="1:10" x14ac:dyDescent="0.35">
      <c r="A120" s="6" t="s">
        <v>35</v>
      </c>
      <c r="B120" s="9">
        <v>43.696634856855852</v>
      </c>
      <c r="C120" s="7">
        <v>43.5</v>
      </c>
      <c r="D120" s="8"/>
      <c r="E120" s="28">
        <v>25.786037167252637</v>
      </c>
      <c r="F120" s="9"/>
      <c r="G120" s="15"/>
      <c r="H120" s="19"/>
      <c r="J120" s="12"/>
    </row>
    <row r="121" spans="1:10" x14ac:dyDescent="0.35">
      <c r="A121" s="6" t="s">
        <v>107</v>
      </c>
      <c r="B121" s="9">
        <v>180.00197804371476</v>
      </c>
      <c r="C121" s="7">
        <v>182</v>
      </c>
      <c r="D121" s="8"/>
      <c r="E121" s="28">
        <v>1.5230936603698941</v>
      </c>
      <c r="F121" s="9"/>
      <c r="G121" s="15"/>
      <c r="H121" s="19"/>
      <c r="J121" s="12"/>
    </row>
    <row r="122" spans="1:10" x14ac:dyDescent="0.35">
      <c r="A122" s="6" t="s">
        <v>5</v>
      </c>
      <c r="B122" s="9">
        <v>20.115745360207544</v>
      </c>
      <c r="C122" s="7">
        <v>20.16</v>
      </c>
      <c r="D122" s="8"/>
      <c r="E122" s="28">
        <v>27.120335262422671</v>
      </c>
      <c r="F122" s="9"/>
      <c r="G122" s="15"/>
      <c r="H122" s="19"/>
      <c r="J122" s="12"/>
    </row>
    <row r="123" spans="1:10" x14ac:dyDescent="0.35">
      <c r="A123" s="6" t="s">
        <v>78</v>
      </c>
      <c r="B123" s="9">
        <v>92.932479053721053</v>
      </c>
      <c r="C123" s="7">
        <v>94.28</v>
      </c>
      <c r="D123" s="8"/>
      <c r="E123" s="28">
        <v>4.4455396747166089</v>
      </c>
      <c r="F123" s="9"/>
      <c r="G123" s="15"/>
      <c r="H123" s="19"/>
      <c r="J123" s="12"/>
    </row>
    <row r="124" spans="1:10" x14ac:dyDescent="0.35">
      <c r="A124" s="6" t="s">
        <v>17</v>
      </c>
      <c r="B124" s="9">
        <v>25.405828280852731</v>
      </c>
      <c r="C124" s="7">
        <v>25.98</v>
      </c>
      <c r="D124" s="8"/>
      <c r="E124" s="28">
        <v>7.324467044787796</v>
      </c>
      <c r="F124" s="9"/>
      <c r="G124" s="15"/>
      <c r="H124" s="19"/>
      <c r="J124" s="12"/>
    </row>
  </sheetData>
  <sortState ref="A5:H124">
    <sortCondition ref="A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32"/>
  <sheetViews>
    <sheetView zoomScaleNormal="100" workbookViewId="0">
      <selection activeCell="C6" sqref="C6"/>
    </sheetView>
  </sheetViews>
  <sheetFormatPr baseColWidth="10" defaultRowHeight="14.5" x14ac:dyDescent="0.35"/>
  <cols>
    <col min="1" max="1" width="28.81640625" customWidth="1"/>
    <col min="2" max="2" width="17.81640625" style="3" customWidth="1"/>
    <col min="4" max="4" width="37.26953125" customWidth="1"/>
    <col min="5" max="5" width="14.81640625" customWidth="1"/>
  </cols>
  <sheetData>
    <row r="1" spans="1:5" x14ac:dyDescent="0.35">
      <c r="A1" s="16" t="s">
        <v>130</v>
      </c>
      <c r="B1" s="17"/>
      <c r="D1" s="16" t="s">
        <v>131</v>
      </c>
      <c r="E1" s="6"/>
    </row>
    <row r="2" spans="1:5" x14ac:dyDescent="0.35">
      <c r="A2" s="6" t="s">
        <v>121</v>
      </c>
      <c r="B2" s="17" t="s">
        <v>24</v>
      </c>
      <c r="D2" s="6" t="s">
        <v>121</v>
      </c>
      <c r="E2" s="6" t="s">
        <v>24</v>
      </c>
    </row>
    <row r="3" spans="1:5" x14ac:dyDescent="0.35">
      <c r="A3" s="6" t="s">
        <v>8</v>
      </c>
      <c r="B3" s="17">
        <v>113.41840295085234</v>
      </c>
      <c r="D3" s="6" t="s">
        <v>1</v>
      </c>
      <c r="E3" s="9">
        <v>2.6486756621689156</v>
      </c>
    </row>
    <row r="4" spans="1:5" x14ac:dyDescent="0.35">
      <c r="A4" s="6" t="s">
        <v>25</v>
      </c>
      <c r="B4" s="17">
        <v>101.11665004985046</v>
      </c>
      <c r="D4" s="6" t="s">
        <v>96</v>
      </c>
      <c r="E4" s="9">
        <v>2.3239507162175697</v>
      </c>
    </row>
    <row r="5" spans="1:5" x14ac:dyDescent="0.35">
      <c r="A5" s="6" t="s">
        <v>0</v>
      </c>
      <c r="B5" s="17">
        <v>75.300120048019195</v>
      </c>
      <c r="D5" s="6" t="s">
        <v>97</v>
      </c>
      <c r="E5" s="9">
        <v>2.3039166583191424</v>
      </c>
    </row>
    <row r="6" spans="1:5" x14ac:dyDescent="0.35">
      <c r="A6" s="6" t="s">
        <v>26</v>
      </c>
      <c r="B6" s="17">
        <v>73.00070415451161</v>
      </c>
      <c r="D6" s="6" t="s">
        <v>98</v>
      </c>
      <c r="E6" s="11">
        <v>2.2893132060381887</v>
      </c>
    </row>
    <row r="7" spans="1:5" x14ac:dyDescent="0.35">
      <c r="A7" s="6" t="s">
        <v>27</v>
      </c>
      <c r="B7" s="17">
        <v>63.707887835384305</v>
      </c>
      <c r="D7" s="6" t="s">
        <v>99</v>
      </c>
      <c r="E7" s="9">
        <v>2.1424320571315216</v>
      </c>
    </row>
    <row r="8" spans="1:5" x14ac:dyDescent="0.35">
      <c r="A8" s="6" t="s">
        <v>28</v>
      </c>
      <c r="B8" s="17">
        <v>46.530531324345759</v>
      </c>
      <c r="D8" s="6" t="s">
        <v>100</v>
      </c>
      <c r="E8" s="10">
        <v>1.9915932746196958</v>
      </c>
    </row>
    <row r="9" spans="1:5" x14ac:dyDescent="0.35">
      <c r="A9" s="6" t="s">
        <v>29</v>
      </c>
      <c r="B9" s="17">
        <v>46.318834796488431</v>
      </c>
      <c r="D9" s="6" t="s">
        <v>101</v>
      </c>
      <c r="E9" s="10">
        <v>1.9482465780797285</v>
      </c>
    </row>
    <row r="10" spans="1:5" x14ac:dyDescent="0.35">
      <c r="A10" s="6" t="s">
        <v>30</v>
      </c>
      <c r="B10" s="17">
        <v>43.664061727173809</v>
      </c>
      <c r="D10" s="6" t="s">
        <v>102</v>
      </c>
      <c r="E10" s="10">
        <v>1.9217365329084934</v>
      </c>
    </row>
    <row r="11" spans="1:5" x14ac:dyDescent="0.35">
      <c r="A11" s="6" t="s">
        <v>31</v>
      </c>
      <c r="B11" s="17">
        <v>38.897811684400722</v>
      </c>
      <c r="D11" s="6" t="s">
        <v>19</v>
      </c>
      <c r="E11" s="10">
        <v>1.8455706304868318</v>
      </c>
    </row>
    <row r="12" spans="1:5" x14ac:dyDescent="0.35">
      <c r="A12" s="6" t="s">
        <v>13</v>
      </c>
      <c r="B12" s="17">
        <v>38.513242375601926</v>
      </c>
      <c r="D12" s="6" t="s">
        <v>103</v>
      </c>
      <c r="E12" s="10">
        <v>1.6643130925963283</v>
      </c>
    </row>
    <row r="13" spans="1:5" x14ac:dyDescent="0.35">
      <c r="A13" s="6" t="s">
        <v>32</v>
      </c>
      <c r="B13" s="17">
        <v>36.631151699644853</v>
      </c>
      <c r="D13" s="6" t="s">
        <v>104</v>
      </c>
      <c r="E13" s="9">
        <v>1.5977907091429135</v>
      </c>
    </row>
    <row r="14" spans="1:5" x14ac:dyDescent="0.35">
      <c r="A14" s="6" t="s">
        <v>18</v>
      </c>
      <c r="B14" s="17">
        <v>36.136065408297156</v>
      </c>
      <c r="D14" s="6" t="s">
        <v>105</v>
      </c>
      <c r="E14" s="9">
        <v>1.5971873430436967</v>
      </c>
    </row>
    <row r="15" spans="1:5" x14ac:dyDescent="0.35">
      <c r="A15" s="6" t="s">
        <v>4</v>
      </c>
      <c r="B15" s="17">
        <v>34.62462462462463</v>
      </c>
      <c r="D15" s="6" t="s">
        <v>9</v>
      </c>
      <c r="E15" s="9">
        <v>1.5667369689665562</v>
      </c>
    </row>
    <row r="16" spans="1:5" x14ac:dyDescent="0.35">
      <c r="A16" s="6" t="s">
        <v>33</v>
      </c>
      <c r="B16" s="17">
        <v>31.802652733118972</v>
      </c>
      <c r="D16" s="6" t="s">
        <v>106</v>
      </c>
      <c r="E16" s="9">
        <v>1.5581579992060341</v>
      </c>
    </row>
    <row r="17" spans="1:5" x14ac:dyDescent="0.35">
      <c r="A17" s="6" t="s">
        <v>34</v>
      </c>
      <c r="B17" s="17">
        <v>28.659398344437715</v>
      </c>
      <c r="D17" s="6" t="s">
        <v>108</v>
      </c>
      <c r="E17" s="9">
        <v>1.5321450030042059</v>
      </c>
    </row>
    <row r="18" spans="1:5" x14ac:dyDescent="0.35">
      <c r="A18" s="6" t="s">
        <v>15</v>
      </c>
      <c r="B18" s="17">
        <v>27.692922032544672</v>
      </c>
      <c r="D18" s="6" t="s">
        <v>107</v>
      </c>
      <c r="E18" s="9">
        <v>1.5230936603698941</v>
      </c>
    </row>
    <row r="19" spans="1:5" x14ac:dyDescent="0.35">
      <c r="A19" s="6" t="s">
        <v>5</v>
      </c>
      <c r="B19" s="17">
        <v>27.120335262422671</v>
      </c>
      <c r="D19" s="6" t="s">
        <v>109</v>
      </c>
      <c r="E19" s="9">
        <v>1.4077525527907206</v>
      </c>
    </row>
    <row r="20" spans="1:5" x14ac:dyDescent="0.35">
      <c r="A20" s="6" t="s">
        <v>35</v>
      </c>
      <c r="B20" s="17">
        <v>25.786037167252637</v>
      </c>
      <c r="D20" s="6" t="s">
        <v>110</v>
      </c>
      <c r="E20" s="9">
        <v>1.348112642300779</v>
      </c>
    </row>
    <row r="21" spans="1:5" x14ac:dyDescent="0.35">
      <c r="A21" s="6" t="s">
        <v>36</v>
      </c>
      <c r="B21" s="17">
        <v>24.789579158316631</v>
      </c>
      <c r="D21" s="6" t="s">
        <v>111</v>
      </c>
      <c r="E21" s="9">
        <v>1.3206603301650826</v>
      </c>
    </row>
    <row r="22" spans="1:5" x14ac:dyDescent="0.35">
      <c r="A22" s="6" t="s">
        <v>10</v>
      </c>
      <c r="B22" s="17">
        <v>21.919886708476636</v>
      </c>
      <c r="D22" s="6" t="s">
        <v>112</v>
      </c>
      <c r="E22" s="9">
        <v>1.2199845081332301</v>
      </c>
    </row>
    <row r="23" spans="1:5" x14ac:dyDescent="0.35">
      <c r="A23" s="6" t="s">
        <v>37</v>
      </c>
      <c r="B23" s="17">
        <v>21.010449426803287</v>
      </c>
      <c r="D23" s="6" t="s">
        <v>2</v>
      </c>
      <c r="E23" s="9">
        <v>1.1962692619626925</v>
      </c>
    </row>
    <row r="24" spans="1:5" x14ac:dyDescent="0.35">
      <c r="A24" s="6" t="s">
        <v>38</v>
      </c>
      <c r="B24" s="17">
        <v>20.550129559497709</v>
      </c>
      <c r="D24" s="6" t="s">
        <v>113</v>
      </c>
      <c r="E24" s="9">
        <v>1.1370436864153202</v>
      </c>
    </row>
    <row r="25" spans="1:5" x14ac:dyDescent="0.35">
      <c r="A25" s="6" t="s">
        <v>39</v>
      </c>
      <c r="B25" s="17">
        <v>20.327407853771213</v>
      </c>
      <c r="D25" s="6" t="s">
        <v>115</v>
      </c>
      <c r="E25" s="9">
        <v>1.0498420140658444</v>
      </c>
    </row>
    <row r="26" spans="1:5" x14ac:dyDescent="0.35">
      <c r="A26" s="6" t="s">
        <v>41</v>
      </c>
      <c r="B26" s="17">
        <v>19.105691056910569</v>
      </c>
      <c r="D26" s="6" t="s">
        <v>114</v>
      </c>
      <c r="E26" s="9">
        <v>1.034967845659164</v>
      </c>
    </row>
    <row r="27" spans="1:5" x14ac:dyDescent="0.35">
      <c r="A27" s="6" t="s">
        <v>40</v>
      </c>
      <c r="B27" s="17">
        <v>18.936511115561785</v>
      </c>
      <c r="D27" s="6" t="s">
        <v>116</v>
      </c>
      <c r="E27" s="9">
        <v>0.84802152895445027</v>
      </c>
    </row>
    <row r="28" spans="1:5" x14ac:dyDescent="0.35">
      <c r="A28" s="6" t="s">
        <v>42</v>
      </c>
      <c r="B28" s="17">
        <v>18.761274804570053</v>
      </c>
      <c r="D28" s="6" t="s">
        <v>117</v>
      </c>
      <c r="E28" s="9">
        <v>0.69549514181960936</v>
      </c>
    </row>
    <row r="29" spans="1:5" x14ac:dyDescent="0.35">
      <c r="A29" s="6" t="s">
        <v>43</v>
      </c>
      <c r="B29" s="17">
        <v>17.197388247112006</v>
      </c>
      <c r="D29" s="6" t="s">
        <v>118</v>
      </c>
      <c r="E29" s="9">
        <v>0.67964303420922156</v>
      </c>
    </row>
    <row r="30" spans="1:5" x14ac:dyDescent="0.35">
      <c r="A30" s="6" t="s">
        <v>45</v>
      </c>
      <c r="B30" s="17">
        <v>16.80612244897959</v>
      </c>
      <c r="D30" s="6" t="s">
        <v>16</v>
      </c>
      <c r="E30" s="9">
        <v>0.67645556690500508</v>
      </c>
    </row>
    <row r="31" spans="1:5" x14ac:dyDescent="0.35">
      <c r="A31" s="6" t="s">
        <v>44</v>
      </c>
      <c r="B31" s="17">
        <v>16.610472034906785</v>
      </c>
      <c r="D31" s="6" t="s">
        <v>119</v>
      </c>
      <c r="E31" s="9">
        <v>0.47266187050359715</v>
      </c>
    </row>
    <row r="32" spans="1:5" x14ac:dyDescent="0.35">
      <c r="A32" s="6" t="s">
        <v>46</v>
      </c>
      <c r="B32" s="17">
        <v>13.855843247025891</v>
      </c>
      <c r="D32" s="6" t="s">
        <v>120</v>
      </c>
      <c r="E32" s="9">
        <v>0.32505588295061982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8"/>
  <sheetViews>
    <sheetView workbookViewId="0">
      <selection activeCell="B10" sqref="B10"/>
    </sheetView>
  </sheetViews>
  <sheetFormatPr baseColWidth="10" defaultRowHeight="14.5" x14ac:dyDescent="0.35"/>
  <cols>
    <col min="1" max="1" width="21.81640625" customWidth="1"/>
    <col min="2" max="2" width="19" customWidth="1"/>
    <col min="3" max="3" width="23.54296875" customWidth="1"/>
    <col min="6" max="6" width="15.1796875" customWidth="1"/>
  </cols>
  <sheetData>
    <row r="1" spans="1:6" x14ac:dyDescent="0.35">
      <c r="A1" s="1" t="s">
        <v>132</v>
      </c>
    </row>
    <row r="2" spans="1:6" ht="15" thickBot="1" x14ac:dyDescent="0.4">
      <c r="A2" s="26"/>
      <c r="B2" s="27" t="s">
        <v>128</v>
      </c>
      <c r="C2" s="27" t="s">
        <v>125</v>
      </c>
    </row>
    <row r="3" spans="1:6" x14ac:dyDescent="0.35">
      <c r="A3" s="6" t="s">
        <v>129</v>
      </c>
      <c r="B3" s="23">
        <f>SUM(Data!$F$5:$F$124)/SUM(Data!$E$5:$E$124)-1</f>
        <v>-1</v>
      </c>
      <c r="C3" s="17"/>
    </row>
    <row r="4" spans="1:6" x14ac:dyDescent="0.35">
      <c r="A4" s="6" t="s">
        <v>136</v>
      </c>
      <c r="B4" s="23">
        <v>-1.9862400730031064E-3</v>
      </c>
      <c r="C4" s="23">
        <v>-1.4312318280393867E-3</v>
      </c>
    </row>
    <row r="5" spans="1:6" ht="15" thickBot="1" x14ac:dyDescent="0.4">
      <c r="A5" s="24" t="s">
        <v>137</v>
      </c>
      <c r="B5" s="25">
        <v>1.741727129656455E-3</v>
      </c>
      <c r="C5" s="25">
        <v>4.9209068953300354E-5</v>
      </c>
      <c r="F5" s="22"/>
    </row>
    <row r="8" spans="1:6" x14ac:dyDescent="0.35">
      <c r="C8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Data</vt:lpstr>
      <vt:lpstr>Liste</vt:lpstr>
      <vt:lpstr>Rendements</vt:lpstr>
      <vt:lpstr>Capi_DP</vt:lpstr>
      <vt:lpstr>Capi_FP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Frederic Peltrault</cp:lastModifiedBy>
  <dcterms:created xsi:type="dcterms:W3CDTF">2014-11-26T20:32:56Z</dcterms:created>
  <dcterms:modified xsi:type="dcterms:W3CDTF">2015-11-09T12:30:36Z</dcterms:modified>
</cp:coreProperties>
</file>