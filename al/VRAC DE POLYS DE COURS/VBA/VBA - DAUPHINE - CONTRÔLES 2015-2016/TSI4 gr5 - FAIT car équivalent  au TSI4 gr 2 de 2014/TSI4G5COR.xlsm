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TSI\TSIn°4\Gr5\"/>
    </mc:Choice>
  </mc:AlternateContent>
  <bookViews>
    <workbookView xWindow="240" yWindow="50" windowWidth="19320" windowHeight="8000" activeTab="1"/>
  </bookViews>
  <sheets>
    <sheet name="Données" sheetId="1" r:id="rId1"/>
    <sheet name="Feuil1" sheetId="2" r:id="rId2"/>
  </sheets>
  <definedNames>
    <definedName name="Coef">Données!$A$3:$E$3</definedName>
  </definedNames>
  <calcPr calcId="152511"/>
</workbook>
</file>

<file path=xl/calcChain.xml><?xml version="1.0" encoding="utf-8"?>
<calcChain xmlns="http://schemas.openxmlformats.org/spreadsheetml/2006/main">
  <c r="O18" i="2" l="1"/>
  <c r="O16" i="2" l="1"/>
  <c r="G7" i="1"/>
  <c r="G8" i="1"/>
  <c r="G9" i="1"/>
  <c r="O14" i="2" l="1"/>
  <c r="O17" i="2"/>
  <c r="O13" i="2" l="1"/>
  <c r="O15" i="2"/>
  <c r="O6" i="2"/>
  <c r="O9" i="2"/>
  <c r="O11" i="2"/>
  <c r="O12" i="2" l="1"/>
  <c r="O10" i="2" l="1"/>
  <c r="O8" i="2" l="1"/>
  <c r="O7" i="2"/>
  <c r="O5" i="2" l="1"/>
  <c r="J2" i="1" l="1"/>
</calcChain>
</file>

<file path=xl/sharedStrings.xml><?xml version="1.0" encoding="utf-8"?>
<sst xmlns="http://schemas.openxmlformats.org/spreadsheetml/2006/main" count="50" uniqueCount="43">
  <si>
    <t>Nom</t>
  </si>
  <si>
    <t>CB/Dettes</t>
  </si>
  <si>
    <t>CA/ Dettes</t>
  </si>
  <si>
    <t>Score</t>
  </si>
  <si>
    <t>EBIT/Actif</t>
  </si>
  <si>
    <t>Reserves/Actif</t>
  </si>
  <si>
    <t>ABC</t>
  </si>
  <si>
    <t>DEF</t>
  </si>
  <si>
    <t>GHI</t>
  </si>
  <si>
    <t>FR/Actif</t>
  </si>
  <si>
    <t>Tableau 2. Evaluation de la probabilité de faillite à l'aide du score Z</t>
  </si>
  <si>
    <t>Tableau 1. Poids des variables dans le score Z</t>
  </si>
  <si>
    <t>Tableau 3. Score moyen des entreprises</t>
  </si>
  <si>
    <t>Ensemble des entreprises</t>
  </si>
  <si>
    <t>Entreprises dont le score est inférieur à 1,8</t>
  </si>
  <si>
    <t>Entreprises dont le score est supérieur à 1,8</t>
  </si>
  <si>
    <t>Barême</t>
  </si>
  <si>
    <t>ProcSaisie</t>
  </si>
  <si>
    <t>Dim</t>
  </si>
  <si>
    <t>Set</t>
  </si>
  <si>
    <t>IB nom</t>
  </si>
  <si>
    <t>IB ratio</t>
  </si>
  <si>
    <t>ProcScore</t>
  </si>
  <si>
    <t xml:space="preserve">Set </t>
  </si>
  <si>
    <t>nom</t>
  </si>
  <si>
    <t>score moy</t>
  </si>
  <si>
    <t>moy si</t>
  </si>
  <si>
    <t>mise en forme</t>
  </si>
  <si>
    <t>Total</t>
  </si>
  <si>
    <t>Ben Hamza</t>
  </si>
  <si>
    <t>nbC, nbE</t>
  </si>
  <si>
    <t>De Isasi</t>
  </si>
  <si>
    <t>Hammoutene</t>
  </si>
  <si>
    <t>Lakhdari</t>
  </si>
  <si>
    <t>Mestre</t>
  </si>
  <si>
    <t>Prime</t>
  </si>
  <si>
    <t>Belhadj</t>
  </si>
  <si>
    <t>Etchegoyen</t>
  </si>
  <si>
    <t>Jauffret</t>
  </si>
  <si>
    <t>Payen</t>
  </si>
  <si>
    <t>Tailleur</t>
  </si>
  <si>
    <t>Resch</t>
  </si>
  <si>
    <t>Leberre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</si>
</sst>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30"/>
      <name val="Calibri"/>
      <family val="2"/>
      <scheme val="minor"/>
    </font>
    <font>
      <b/>
      <sz val="9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1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0" fillId="0" borderId="0" xfId="0" applyNumberFormat="1" applyFill="1"/>
    <xf numFmtId="0" fontId="0" fillId="0" borderId="3" xfId="0" applyBorder="1"/>
    <xf numFmtId="164" fontId="0" fillId="0" borderId="3" xfId="0" applyNumberFormat="1" applyBorder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527050</xdr:colOff>
          <xdr:row>0</xdr:row>
          <xdr:rowOff>127000</xdr:rowOff>
        </xdr:from>
        <xdr:to>
          <xdr:col>7</xdr:col>
          <xdr:colOff>279400</xdr:colOff>
          <xdr:row>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900" b="1" i="0" u="none" strike="noStrike" baseline="0">
                  <a:solidFill>
                    <a:srgbClr val="000000"/>
                  </a:solidFill>
                  <a:latin typeface="Calibri"/>
                </a:rPr>
                <a:t>Lancez la saisie en cliquant 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9"/>
  <sheetViews>
    <sheetView zoomScale="127" zoomScaleNormal="130" workbookViewId="0">
      <selection activeCell="G7" sqref="G7"/>
    </sheetView>
  </sheetViews>
  <sheetFormatPr baseColWidth="10" defaultRowHeight="14.5" x14ac:dyDescent="0.35"/>
  <cols>
    <col min="1" max="1" width="15.54296875" customWidth="1"/>
    <col min="2" max="3" width="12.81640625" bestFit="1" customWidth="1"/>
    <col min="4" max="4" width="9.36328125" bestFit="1" customWidth="1"/>
    <col min="5" max="5" width="10.54296875" customWidth="1"/>
    <col min="6" max="6" width="11.1796875" customWidth="1"/>
    <col min="7" max="7" width="11.453125" customWidth="1"/>
    <col min="8" max="8" width="11.54296875" bestFit="1" customWidth="1"/>
    <col min="9" max="9" width="37.54296875" bestFit="1" customWidth="1"/>
  </cols>
  <sheetData>
    <row r="1" spans="1:10" ht="15" thickBot="1" x14ac:dyDescent="0.4">
      <c r="A1" s="1" t="s">
        <v>11</v>
      </c>
      <c r="I1" s="10" t="s">
        <v>12</v>
      </c>
      <c r="J1" s="9"/>
    </row>
    <row r="2" spans="1:10" ht="15" thickBot="1" x14ac:dyDescent="0.4">
      <c r="A2" s="3" t="s">
        <v>9</v>
      </c>
      <c r="B2" s="3" t="s">
        <v>5</v>
      </c>
      <c r="C2" s="3" t="s">
        <v>4</v>
      </c>
      <c r="D2" s="3" t="s">
        <v>1</v>
      </c>
      <c r="E2" s="3" t="s">
        <v>2</v>
      </c>
      <c r="I2" s="6" t="s">
        <v>13</v>
      </c>
      <c r="J2" s="7">
        <f>AVERAGE($G$7:$G$9)</f>
        <v>2.4666666666666663</v>
      </c>
    </row>
    <row r="3" spans="1:10" ht="15" thickBot="1" x14ac:dyDescent="0.4">
      <c r="A3" s="4">
        <v>1.2</v>
      </c>
      <c r="B3" s="4">
        <v>1.4</v>
      </c>
      <c r="C3" s="4">
        <v>3.3</v>
      </c>
      <c r="D3" s="4">
        <v>0.6</v>
      </c>
      <c r="E3" s="4">
        <v>1</v>
      </c>
      <c r="I3" s="6" t="s">
        <v>14</v>
      </c>
      <c r="J3" s="7">
        <v>1.51</v>
      </c>
    </row>
    <row r="4" spans="1:10" ht="15" thickBot="1" x14ac:dyDescent="0.4">
      <c r="A4" s="1"/>
      <c r="I4" s="6" t="s">
        <v>15</v>
      </c>
      <c r="J4" s="7">
        <v>2.9449999999999994</v>
      </c>
    </row>
    <row r="5" spans="1:10" ht="15" thickBot="1" x14ac:dyDescent="0.4">
      <c r="A5" s="1" t="s">
        <v>10</v>
      </c>
    </row>
    <row r="6" spans="1:10" ht="15" thickBot="1" x14ac:dyDescent="0.4">
      <c r="A6" s="2" t="s">
        <v>0</v>
      </c>
      <c r="B6" s="2" t="s">
        <v>9</v>
      </c>
      <c r="C6" s="2" t="s">
        <v>5</v>
      </c>
      <c r="D6" s="2" t="s">
        <v>4</v>
      </c>
      <c r="E6" s="2" t="s">
        <v>1</v>
      </c>
      <c r="F6" s="2" t="s">
        <v>2</v>
      </c>
      <c r="G6" s="2" t="s">
        <v>3</v>
      </c>
    </row>
    <row r="7" spans="1:10" x14ac:dyDescent="0.35">
      <c r="A7" s="8" t="s">
        <v>6</v>
      </c>
      <c r="B7">
        <v>0.2</v>
      </c>
      <c r="C7">
        <v>0.1</v>
      </c>
      <c r="D7">
        <v>0.1</v>
      </c>
      <c r="E7">
        <v>1</v>
      </c>
      <c r="F7">
        <v>0.2</v>
      </c>
      <c r="G7" s="5">
        <f>SUMPRODUCT($B7:$F7,Coef)</f>
        <v>1.51</v>
      </c>
    </row>
    <row r="8" spans="1:10" x14ac:dyDescent="0.35">
      <c r="A8" t="s">
        <v>7</v>
      </c>
      <c r="B8">
        <v>0.3</v>
      </c>
      <c r="C8">
        <v>0.2</v>
      </c>
      <c r="D8">
        <v>0.4</v>
      </c>
      <c r="E8">
        <v>1.5</v>
      </c>
      <c r="F8">
        <v>0.4</v>
      </c>
      <c r="G8">
        <f>SUMPRODUCT($B8:$F8,Coef)</f>
        <v>3.26</v>
      </c>
    </row>
    <row r="9" spans="1:10" x14ac:dyDescent="0.35">
      <c r="A9" t="s">
        <v>8</v>
      </c>
      <c r="B9">
        <v>0.2</v>
      </c>
      <c r="C9">
        <v>0.2</v>
      </c>
      <c r="D9">
        <v>0.3</v>
      </c>
      <c r="E9">
        <v>1.2</v>
      </c>
      <c r="F9">
        <v>0.4</v>
      </c>
      <c r="G9">
        <f>SUMPRODUCT($B9:$F9,Coef)</f>
        <v>2.6299999999999994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Saisie">
                <anchor moveWithCells="1" sizeWithCells="1">
                  <from>
                    <xdr:col>5</xdr:col>
                    <xdr:colOff>527050</xdr:colOff>
                    <xdr:row>0</xdr:row>
                    <xdr:rowOff>127000</xdr:rowOff>
                  </from>
                  <to>
                    <xdr:col>7</xdr:col>
                    <xdr:colOff>279400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P18"/>
  <sheetViews>
    <sheetView tabSelected="1" zoomScale="94" workbookViewId="0">
      <selection activeCell="P8" sqref="P8"/>
    </sheetView>
  </sheetViews>
  <sheetFormatPr baseColWidth="10" defaultRowHeight="14.5" x14ac:dyDescent="0.35"/>
  <cols>
    <col min="1" max="1" width="12.26953125" bestFit="1" customWidth="1"/>
  </cols>
  <sheetData>
    <row r="1" spans="1:16" x14ac:dyDescent="0.35">
      <c r="D1" t="s">
        <v>16</v>
      </c>
    </row>
    <row r="3" spans="1:16" x14ac:dyDescent="0.35">
      <c r="C3" t="s">
        <v>17</v>
      </c>
      <c r="H3" t="s">
        <v>22</v>
      </c>
    </row>
    <row r="4" spans="1:16" x14ac:dyDescent="0.35">
      <c r="B4" t="s">
        <v>18</v>
      </c>
      <c r="C4" t="s">
        <v>19</v>
      </c>
      <c r="D4" t="s">
        <v>20</v>
      </c>
      <c r="E4" t="s">
        <v>21</v>
      </c>
      <c r="G4" t="s">
        <v>18</v>
      </c>
      <c r="H4" t="s">
        <v>23</v>
      </c>
      <c r="I4" t="s">
        <v>30</v>
      </c>
      <c r="J4" t="s">
        <v>24</v>
      </c>
      <c r="K4" t="s">
        <v>3</v>
      </c>
      <c r="L4" t="s">
        <v>25</v>
      </c>
      <c r="M4" t="s">
        <v>26</v>
      </c>
      <c r="N4" t="s">
        <v>27</v>
      </c>
      <c r="O4" t="s">
        <v>28</v>
      </c>
    </row>
    <row r="5" spans="1:16" x14ac:dyDescent="0.35">
      <c r="B5">
        <v>0.5</v>
      </c>
      <c r="C5">
        <v>1</v>
      </c>
      <c r="D5">
        <v>1.5</v>
      </c>
      <c r="E5">
        <v>3</v>
      </c>
      <c r="G5">
        <v>0.5</v>
      </c>
      <c r="H5">
        <v>0.5</v>
      </c>
      <c r="I5">
        <v>2</v>
      </c>
      <c r="J5">
        <v>1</v>
      </c>
      <c r="K5">
        <v>2</v>
      </c>
      <c r="L5">
        <v>2</v>
      </c>
      <c r="M5">
        <v>3</v>
      </c>
      <c r="N5">
        <v>3</v>
      </c>
      <c r="O5">
        <f t="shared" ref="O5:O18" si="0">SUM(B5:N5)</f>
        <v>20</v>
      </c>
    </row>
    <row r="6" spans="1:16" x14ac:dyDescent="0.35">
      <c r="A6" t="s">
        <v>36</v>
      </c>
      <c r="B6">
        <v>0.5</v>
      </c>
      <c r="C6">
        <v>0</v>
      </c>
      <c r="D6">
        <v>0.75</v>
      </c>
      <c r="E6">
        <v>0.5</v>
      </c>
      <c r="G6">
        <v>0.5</v>
      </c>
      <c r="H6">
        <v>0.5</v>
      </c>
      <c r="I6">
        <v>2</v>
      </c>
      <c r="J6">
        <v>1</v>
      </c>
      <c r="K6">
        <v>1.5</v>
      </c>
      <c r="L6">
        <v>2</v>
      </c>
      <c r="M6">
        <v>0</v>
      </c>
      <c r="N6">
        <v>0</v>
      </c>
      <c r="O6">
        <f t="shared" si="0"/>
        <v>9.25</v>
      </c>
      <c r="P6">
        <v>9.5</v>
      </c>
    </row>
    <row r="7" spans="1:16" x14ac:dyDescent="0.35">
      <c r="A7" t="s">
        <v>29</v>
      </c>
      <c r="B7">
        <v>0.5</v>
      </c>
      <c r="C7">
        <v>0.5</v>
      </c>
      <c r="D7">
        <v>1.5</v>
      </c>
      <c r="E7">
        <v>1</v>
      </c>
      <c r="G7">
        <v>0.5</v>
      </c>
      <c r="H7">
        <v>0.5</v>
      </c>
      <c r="I7">
        <v>2</v>
      </c>
      <c r="J7">
        <v>0.5</v>
      </c>
      <c r="K7">
        <v>0</v>
      </c>
      <c r="L7">
        <v>0.5</v>
      </c>
      <c r="M7">
        <v>2</v>
      </c>
      <c r="N7">
        <v>0.5</v>
      </c>
      <c r="O7">
        <f t="shared" si="0"/>
        <v>10</v>
      </c>
      <c r="P7">
        <v>10</v>
      </c>
    </row>
    <row r="8" spans="1:16" x14ac:dyDescent="0.35">
      <c r="A8" t="s">
        <v>31</v>
      </c>
      <c r="B8">
        <v>0.5</v>
      </c>
      <c r="C8">
        <v>0</v>
      </c>
      <c r="D8">
        <v>0</v>
      </c>
      <c r="E8">
        <v>0</v>
      </c>
      <c r="G8">
        <v>0.5</v>
      </c>
      <c r="H8">
        <v>0.5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f t="shared" si="0"/>
        <v>1.5</v>
      </c>
      <c r="P8">
        <v>1.5</v>
      </c>
    </row>
    <row r="9" spans="1:16" x14ac:dyDescent="0.35">
      <c r="A9" t="s">
        <v>37</v>
      </c>
      <c r="B9">
        <v>0.5</v>
      </c>
      <c r="C9">
        <v>1</v>
      </c>
      <c r="D9">
        <v>1.5</v>
      </c>
      <c r="E9">
        <v>1.5</v>
      </c>
      <c r="G9">
        <v>0.5</v>
      </c>
      <c r="H9">
        <v>0.5</v>
      </c>
      <c r="I9">
        <v>1</v>
      </c>
      <c r="J9">
        <v>0.5</v>
      </c>
      <c r="K9">
        <v>0.5</v>
      </c>
      <c r="L9">
        <v>0</v>
      </c>
      <c r="M9">
        <v>1</v>
      </c>
      <c r="N9">
        <v>0</v>
      </c>
      <c r="O9">
        <f t="shared" si="0"/>
        <v>8.5</v>
      </c>
      <c r="P9">
        <v>8.5</v>
      </c>
    </row>
    <row r="10" spans="1:16" x14ac:dyDescent="0.35">
      <c r="A10" t="s">
        <v>32</v>
      </c>
      <c r="B10">
        <v>0.5</v>
      </c>
      <c r="C10">
        <v>0</v>
      </c>
      <c r="D10">
        <v>0</v>
      </c>
      <c r="E10">
        <v>1</v>
      </c>
      <c r="G10">
        <v>0.5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f t="shared" si="0"/>
        <v>2</v>
      </c>
      <c r="P10">
        <v>2</v>
      </c>
    </row>
    <row r="11" spans="1:16" x14ac:dyDescent="0.35">
      <c r="A11" t="s">
        <v>38</v>
      </c>
      <c r="B11">
        <v>0.5</v>
      </c>
      <c r="C11">
        <v>1</v>
      </c>
      <c r="D11">
        <v>1.5</v>
      </c>
      <c r="E11">
        <v>1</v>
      </c>
      <c r="G11">
        <v>0.5</v>
      </c>
      <c r="H11">
        <v>0.5</v>
      </c>
      <c r="I11">
        <v>2</v>
      </c>
      <c r="J11">
        <v>0</v>
      </c>
      <c r="K11">
        <v>2</v>
      </c>
      <c r="L11">
        <v>2</v>
      </c>
      <c r="M11">
        <v>3</v>
      </c>
      <c r="N11">
        <v>3</v>
      </c>
      <c r="O11">
        <f t="shared" si="0"/>
        <v>17</v>
      </c>
      <c r="P11">
        <v>17</v>
      </c>
    </row>
    <row r="12" spans="1:16" x14ac:dyDescent="0.35">
      <c r="A12" t="s">
        <v>33</v>
      </c>
      <c r="B12">
        <v>0.5</v>
      </c>
      <c r="C12">
        <v>0</v>
      </c>
      <c r="D12">
        <v>1</v>
      </c>
      <c r="E12">
        <v>1</v>
      </c>
      <c r="G12">
        <v>0.5</v>
      </c>
      <c r="H12">
        <v>0.5</v>
      </c>
      <c r="I12">
        <v>2</v>
      </c>
      <c r="J12">
        <v>0.5</v>
      </c>
      <c r="K12">
        <v>1.5</v>
      </c>
      <c r="L12">
        <v>2</v>
      </c>
      <c r="M12">
        <v>0</v>
      </c>
      <c r="N12">
        <v>0</v>
      </c>
      <c r="O12">
        <f t="shared" si="0"/>
        <v>9.5</v>
      </c>
      <c r="P12">
        <v>9.5</v>
      </c>
    </row>
    <row r="13" spans="1:16" x14ac:dyDescent="0.35">
      <c r="A13" t="s">
        <v>34</v>
      </c>
      <c r="B13">
        <v>0.5</v>
      </c>
      <c r="C13">
        <v>0.75</v>
      </c>
      <c r="D13">
        <v>1.5</v>
      </c>
      <c r="E13">
        <v>3</v>
      </c>
      <c r="G13">
        <v>0.5</v>
      </c>
      <c r="H13">
        <v>0.5</v>
      </c>
      <c r="I13">
        <v>1.75</v>
      </c>
      <c r="J13">
        <v>1</v>
      </c>
      <c r="K13">
        <v>2</v>
      </c>
      <c r="L13">
        <v>0</v>
      </c>
      <c r="M13">
        <v>0</v>
      </c>
      <c r="N13">
        <v>2</v>
      </c>
      <c r="O13">
        <f t="shared" si="0"/>
        <v>13.5</v>
      </c>
      <c r="P13">
        <v>14</v>
      </c>
    </row>
    <row r="14" spans="1:16" x14ac:dyDescent="0.35">
      <c r="A14" t="s">
        <v>39</v>
      </c>
      <c r="B14">
        <v>0.5</v>
      </c>
      <c r="C14">
        <v>1</v>
      </c>
      <c r="D14">
        <v>0.5</v>
      </c>
      <c r="E14">
        <v>1</v>
      </c>
      <c r="G14">
        <v>0.5</v>
      </c>
      <c r="H14">
        <v>0.5</v>
      </c>
      <c r="I14">
        <v>2</v>
      </c>
      <c r="J14">
        <v>1</v>
      </c>
      <c r="K14">
        <v>0.5</v>
      </c>
      <c r="L14">
        <v>0</v>
      </c>
      <c r="M14">
        <v>0</v>
      </c>
      <c r="N14">
        <v>0</v>
      </c>
      <c r="O14">
        <f t="shared" si="0"/>
        <v>7.5</v>
      </c>
      <c r="P14">
        <v>7.5</v>
      </c>
    </row>
    <row r="15" spans="1:16" x14ac:dyDescent="0.35">
      <c r="A15" t="s">
        <v>35</v>
      </c>
      <c r="B15">
        <v>0.25</v>
      </c>
      <c r="C15">
        <v>0</v>
      </c>
      <c r="D15">
        <v>0</v>
      </c>
      <c r="E15">
        <v>0</v>
      </c>
      <c r="G15">
        <v>0.25</v>
      </c>
      <c r="H15">
        <v>0.5</v>
      </c>
      <c r="I15">
        <v>0.5</v>
      </c>
      <c r="J15">
        <v>0.5</v>
      </c>
      <c r="K15">
        <v>0</v>
      </c>
      <c r="L15">
        <v>0</v>
      </c>
      <c r="M15">
        <v>0</v>
      </c>
      <c r="N15">
        <v>0</v>
      </c>
      <c r="O15">
        <f t="shared" si="0"/>
        <v>2</v>
      </c>
      <c r="P15">
        <v>2</v>
      </c>
    </row>
    <row r="16" spans="1:16" x14ac:dyDescent="0.35">
      <c r="A16" t="s">
        <v>41</v>
      </c>
      <c r="B16">
        <v>0.5</v>
      </c>
      <c r="C16">
        <v>0</v>
      </c>
      <c r="D16">
        <v>1</v>
      </c>
      <c r="E16">
        <v>0</v>
      </c>
      <c r="G16">
        <v>0.5</v>
      </c>
      <c r="H16">
        <v>0.5</v>
      </c>
      <c r="I16">
        <v>0</v>
      </c>
      <c r="J16">
        <v>0</v>
      </c>
      <c r="K16">
        <v>0</v>
      </c>
      <c r="L16">
        <v>1.5</v>
      </c>
      <c r="M16">
        <v>0.5</v>
      </c>
      <c r="N16">
        <v>1</v>
      </c>
      <c r="O16">
        <f t="shared" si="0"/>
        <v>5.5</v>
      </c>
      <c r="P16">
        <v>5.5</v>
      </c>
    </row>
    <row r="17" spans="1:16" x14ac:dyDescent="0.35">
      <c r="A17" t="s">
        <v>40</v>
      </c>
      <c r="B17">
        <v>0.5</v>
      </c>
      <c r="C17">
        <v>1</v>
      </c>
      <c r="D17">
        <v>1.5</v>
      </c>
      <c r="E17">
        <v>3</v>
      </c>
      <c r="G17">
        <v>0.5</v>
      </c>
      <c r="H17">
        <v>0.5</v>
      </c>
      <c r="I17">
        <v>0</v>
      </c>
      <c r="J17">
        <v>1</v>
      </c>
      <c r="K17">
        <v>0.5</v>
      </c>
      <c r="L17">
        <v>0</v>
      </c>
      <c r="M17">
        <v>0</v>
      </c>
      <c r="N17">
        <v>0.75</v>
      </c>
      <c r="O17">
        <f t="shared" si="0"/>
        <v>9.25</v>
      </c>
      <c r="P17">
        <v>9.5</v>
      </c>
    </row>
    <row r="18" spans="1:16" x14ac:dyDescent="0.35">
      <c r="A18" t="s">
        <v>42</v>
      </c>
      <c r="B18">
        <v>0.5</v>
      </c>
      <c r="C18">
        <v>0</v>
      </c>
      <c r="D18">
        <v>1</v>
      </c>
      <c r="E18">
        <v>0</v>
      </c>
      <c r="G18">
        <v>0.5</v>
      </c>
      <c r="H18">
        <v>0.5</v>
      </c>
      <c r="I18">
        <v>1.5</v>
      </c>
      <c r="J18">
        <v>0.5</v>
      </c>
      <c r="K18">
        <v>0.5</v>
      </c>
      <c r="L18">
        <v>0</v>
      </c>
      <c r="M18">
        <v>3</v>
      </c>
      <c r="N18">
        <v>1</v>
      </c>
      <c r="O18">
        <f t="shared" si="0"/>
        <v>9</v>
      </c>
    </row>
  </sheetData>
  <sortState ref="A6:O17">
    <sortCondition ref="A6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Données</vt:lpstr>
      <vt:lpstr>Feuil1</vt:lpstr>
      <vt:lpstr>Coef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2013-12-11T08:56:18Z</dcterms:created>
  <dcterms:modified xsi:type="dcterms:W3CDTF">2015-11-28T21:13:15Z</dcterms:modified>
</cp:coreProperties>
</file>