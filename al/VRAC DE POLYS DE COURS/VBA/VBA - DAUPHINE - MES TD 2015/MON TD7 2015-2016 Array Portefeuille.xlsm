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317" codeName="{8C4F1C90-05EB-6A55-5F09-09C24B55AC0B}"/>
  <workbookPr codeName="ThisWorkbook" autoCompressPictures="0"/>
  <bookViews>
    <workbookView xWindow="0" yWindow="0" windowWidth="28800" windowHeight="17460" activeTab="2"/>
  </bookViews>
  <sheets>
    <sheet name="Intro" sheetId="3" r:id="rId1"/>
    <sheet name="Portefeuille" sheetId="1" r:id="rId2"/>
    <sheet name="Synthèse" sheetId="2" r:id="rId3"/>
  </sheets>
  <definedNames>
    <definedName name="_xlnm._FilterDatabase" localSheetId="1" hidden="1">Portefeuille!$A$3:$F$3</definedName>
    <definedName name="ActionT">Portefeuille!$D$4:$D$24</definedName>
    <definedName name="ActionTmoins1">Portefeuille!$F$4:$F$24</definedName>
    <definedName name="CoursT">Portefeuille!$C$4:$C$24</definedName>
    <definedName name="CoursTmoins1">Portefeuille!$E$4:$E$24</definedName>
    <definedName name="Secteur">Portefeuille!$B$4:$B$24</definedName>
    <definedName name="Titre">Portefeuille!$A$4:$A$24</definedName>
    <definedName name="Titres">Portefeuille!$A$4:$A$24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2" l="1"/>
  <c r="D11" i="2"/>
  <c r="C11" i="2" a="1"/>
  <c r="C11" i="2"/>
  <c r="B11" i="2" a="1"/>
  <c r="B11" i="2"/>
  <c r="E10" i="2"/>
  <c r="D10" i="2"/>
  <c r="C10" i="2" a="1"/>
  <c r="C10" i="2"/>
  <c r="B10" i="2" a="1"/>
  <c r="B10" i="2"/>
  <c r="E9" i="2"/>
  <c r="D9" i="2"/>
  <c r="C9" i="2" a="1"/>
  <c r="C9" i="2"/>
  <c r="B9" i="2" a="1"/>
  <c r="B9" i="2"/>
  <c r="E8" i="2"/>
  <c r="D8" i="2"/>
  <c r="C8" i="2" a="1"/>
  <c r="C8" i="2"/>
  <c r="B8" i="2" a="1"/>
  <c r="B8" i="2"/>
  <c r="E7" i="2"/>
  <c r="D7" i="2"/>
  <c r="C7" i="2" a="1"/>
  <c r="C7" i="2"/>
  <c r="B7" i="2" a="1"/>
  <c r="B7" i="2"/>
  <c r="E6" i="2"/>
  <c r="D6" i="2"/>
  <c r="C6" i="2" a="1"/>
  <c r="C6" i="2"/>
  <c r="B6" i="2" a="1"/>
  <c r="B6" i="2"/>
  <c r="E5" i="2"/>
  <c r="D5" i="2"/>
  <c r="C5" i="2" a="1"/>
  <c r="C5" i="2"/>
  <c r="B5" i="2" a="1"/>
  <c r="B5" i="2"/>
  <c r="E4" i="2"/>
  <c r="D4" i="2"/>
  <c r="C4" i="2"/>
  <c r="B4" i="2"/>
</calcChain>
</file>

<file path=xl/sharedStrings.xml><?xml version="1.0" encoding="utf-8"?>
<sst xmlns="http://schemas.openxmlformats.org/spreadsheetml/2006/main" count="67" uniqueCount="44">
  <si>
    <t>Total</t>
  </si>
  <si>
    <t>Schlumberger</t>
  </si>
  <si>
    <t>Technip</t>
  </si>
  <si>
    <t>Ford Motor</t>
  </si>
  <si>
    <t>Michelin</t>
  </si>
  <si>
    <t>Faurecia</t>
  </si>
  <si>
    <t>Henri Maire</t>
  </si>
  <si>
    <t>Pernod Ricard</t>
  </si>
  <si>
    <t>BNP PARIBAS</t>
  </si>
  <si>
    <t>Natixis</t>
  </si>
  <si>
    <t>Banque de la réunion</t>
  </si>
  <si>
    <t>AB Science</t>
  </si>
  <si>
    <t>Sanofi</t>
  </si>
  <si>
    <t>Transgene</t>
  </si>
  <si>
    <t>Air Liquide</t>
  </si>
  <si>
    <t>Dupont</t>
  </si>
  <si>
    <t>Solvay</t>
  </si>
  <si>
    <t>EADS</t>
  </si>
  <si>
    <t>Safran</t>
  </si>
  <si>
    <t>Zodiac Aerospace</t>
  </si>
  <si>
    <t>Pétrole et gaz</t>
  </si>
  <si>
    <t>Automobiles et équipementiers</t>
  </si>
  <si>
    <t>Boissons</t>
  </si>
  <si>
    <t>Banques</t>
  </si>
  <si>
    <t>Pharmacie et biotechnologie</t>
  </si>
  <si>
    <t>Chimie</t>
  </si>
  <si>
    <t>Aerospatiale et défense</t>
  </si>
  <si>
    <t>Secteurs</t>
  </si>
  <si>
    <t>Deinove</t>
  </si>
  <si>
    <t>Nombre d'actions</t>
  </si>
  <si>
    <t>Cours</t>
  </si>
  <si>
    <t>Date t</t>
  </si>
  <si>
    <t>Date t-1</t>
  </si>
  <si>
    <t>Titre</t>
  </si>
  <si>
    <t>Rendement</t>
  </si>
  <si>
    <t>Ensemble du portefeuille</t>
  </si>
  <si>
    <t>Tableau 1. Rendement du portefeuille, par secteurs</t>
  </si>
  <si>
    <t>Tableau 1. Evolution du cours des actions du portefeuille entre t-1 et t</t>
  </si>
  <si>
    <t>Valeur en t</t>
  </si>
  <si>
    <t>Valeur en t-1</t>
  </si>
  <si>
    <t>P&amp;L</t>
  </si>
  <si>
    <r>
      <t xml:space="preserve">Objectifs :
</t>
    </r>
    <r>
      <rPr>
        <sz val="10"/>
        <rFont val="Arial"/>
        <family val="2"/>
      </rPr>
      <t>Déterminer le valeur et le P&amp;L du portefeuille ainsi que sa ventilation par secteurs
Determiner le rendement du portefeuille et de chaque poche. Le mode de calcul du rendement (discret ou continu)
est choisi par l'utilisateur.</t>
    </r>
  </si>
  <si>
    <r>
      <rPr>
        <b/>
        <sz val="10"/>
        <rFont val="Arial"/>
        <family val="2"/>
      </rPr>
      <t>Les données</t>
    </r>
    <r>
      <rPr>
        <sz val="10"/>
        <rFont val="Arial"/>
        <family val="2"/>
      </rPr>
      <t xml:space="preserve">
Vous avez le cours et le nombre d'actions du portefeuille en t et t-1.</t>
    </r>
  </si>
  <si>
    <t xml:space="preserve">Mises en forme
Créer des noms pour identifier clairement les plages de cellules (Titres, Secteurs, Cours_t, Cours_t-1, Nba_t,Nba_t-1)
Attribuer la couleur verte à l'interieur des cellules quand le secteur engendre un gain
Attribuer la couleur rouge à l'interieur des cellules quand le secteur engendre une perte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</si>
</sst>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2" fontId="0" fillId="0" borderId="1" xfId="0" applyNumberFormat="1" applyBorder="1" applyAlignment="1">
      <alignment horizontal="center"/>
    </xf>
    <xf numFmtId="0" fontId="1" fillId="2" borderId="1" xfId="0" applyFont="1" applyFill="1" applyBorder="1"/>
    <xf numFmtId="0" fontId="1" fillId="3" borderId="4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0" fillId="0" borderId="1" xfId="0" applyBorder="1" applyAlignment="1">
      <alignment horizontal="right" indent="3"/>
    </xf>
    <xf numFmtId="0" fontId="0" fillId="4" borderId="0" xfId="0" applyFill="1" applyAlignment="1">
      <alignment horizontal="justify" vertical="top" wrapText="1"/>
    </xf>
    <xf numFmtId="0" fontId="0" fillId="4" borderId="0" xfId="0" applyFill="1"/>
    <xf numFmtId="0" fontId="0" fillId="4" borderId="0" xfId="0" applyFill="1" applyAlignment="1"/>
    <xf numFmtId="1" fontId="0" fillId="0" borderId="1" xfId="0" applyNumberFormat="1" applyBorder="1" applyAlignment="1">
      <alignment horizontal="left" vertical="center"/>
    </xf>
    <xf numFmtId="1" fontId="0" fillId="0" borderId="1" xfId="0" applyNumberFormat="1" applyBorder="1"/>
    <xf numFmtId="164" fontId="0" fillId="0" borderId="1" xfId="0" applyNumberFormat="1" applyBorder="1"/>
    <xf numFmtId="16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top" wrapText="1"/>
    </xf>
    <xf numFmtId="0" fontId="3" fillId="4" borderId="0" xfId="0" applyFont="1" applyFill="1" applyAlignment="1">
      <alignment horizontal="justify" vertical="top" wrapText="1"/>
    </xf>
    <xf numFmtId="0" fontId="2" fillId="4" borderId="0" xfId="0" applyFont="1" applyFill="1" applyAlignment="1">
      <alignment horizontal="justify" vertical="top" wrapText="1"/>
    </xf>
    <xf numFmtId="0" fontId="3" fillId="4" borderId="0" xfId="0" applyFont="1" applyFill="1" applyAlignment="1">
      <alignment horizontal="justify" vertical="top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711200</xdr:colOff>
          <xdr:row>3</xdr:row>
          <xdr:rowOff>50800</xdr:rowOff>
        </xdr:from>
        <xdr:to>
          <xdr:col>11</xdr:col>
          <xdr:colOff>0</xdr:colOff>
          <xdr:row>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Feuille Portefeuille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711200</xdr:colOff>
          <xdr:row>5</xdr:row>
          <xdr:rowOff>139700</xdr:rowOff>
        </xdr:from>
        <xdr:to>
          <xdr:col>10</xdr:col>
          <xdr:colOff>749300</xdr:colOff>
          <xdr:row>7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Feuille Synthèse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</xdr:row>
          <xdr:rowOff>101600</xdr:rowOff>
        </xdr:from>
        <xdr:to>
          <xdr:col>9</xdr:col>
          <xdr:colOff>177800</xdr:colOff>
          <xdr:row>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Feuille Intro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4</xdr:row>
          <xdr:rowOff>152400</xdr:rowOff>
        </xdr:from>
        <xdr:to>
          <xdr:col>9</xdr:col>
          <xdr:colOff>203200</xdr:colOff>
          <xdr:row>6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Feuille Synthèse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8</xdr:row>
          <xdr:rowOff>25400</xdr:rowOff>
        </xdr:from>
        <xdr:to>
          <xdr:col>9</xdr:col>
          <xdr:colOff>266700</xdr:colOff>
          <xdr:row>12</xdr:row>
          <xdr:rowOff>63500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Launch ProcSelect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</xdr:row>
          <xdr:rowOff>101600</xdr:rowOff>
        </xdr:from>
        <xdr:to>
          <xdr:col>10</xdr:col>
          <xdr:colOff>63500</xdr:colOff>
          <xdr:row>5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Feuille Portefeuille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101600</xdr:rowOff>
        </xdr:from>
        <xdr:to>
          <xdr:col>10</xdr:col>
          <xdr:colOff>25400</xdr:colOff>
          <xdr:row>3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Feuille Intro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12700</xdr:rowOff>
        </xdr:from>
        <xdr:to>
          <xdr:col>10</xdr:col>
          <xdr:colOff>88900</xdr:colOff>
          <xdr:row>10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Launch ProcSelect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12</xdr:row>
          <xdr:rowOff>25400</xdr:rowOff>
        </xdr:from>
        <xdr:to>
          <xdr:col>10</xdr:col>
          <xdr:colOff>25400</xdr:colOff>
          <xdr:row>14</xdr:row>
          <xdr:rowOff>50800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Effacer les résultats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trlProp" Target="../ctrlProps/ctrlProp7.xml"/><Relationship Id="rId5" Type="http://schemas.openxmlformats.org/officeDocument/2006/relationships/ctrlProp" Target="../ctrlProps/ctrlProp8.xml"/><Relationship Id="rId6" Type="http://schemas.openxmlformats.org/officeDocument/2006/relationships/ctrlProp" Target="../ctrlProps/ctrlProp9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enableFormatConditionsCalculation="0"/>
  <dimension ref="A1:K17"/>
  <sheetViews>
    <sheetView workbookViewId="0">
      <selection activeCell="L5" sqref="L5"/>
    </sheetView>
  </sheetViews>
  <sheetFormatPr baseColWidth="10" defaultRowHeight="12" x14ac:dyDescent="0"/>
  <sheetData>
    <row r="1" spans="1:11">
      <c r="A1" s="9"/>
      <c r="B1" s="9"/>
      <c r="C1" s="9"/>
      <c r="D1" s="9"/>
      <c r="E1" s="9"/>
      <c r="F1" s="9"/>
      <c r="G1" s="9"/>
      <c r="H1" s="9"/>
      <c r="I1" s="9"/>
      <c r="J1" s="9"/>
      <c r="K1" s="9"/>
    </row>
    <row r="2" spans="1:11">
      <c r="A2" s="17" t="s">
        <v>42</v>
      </c>
      <c r="B2" s="17"/>
      <c r="C2" s="17"/>
      <c r="D2" s="17"/>
      <c r="E2" s="17"/>
      <c r="F2" s="17"/>
      <c r="G2" s="17"/>
      <c r="H2" s="17"/>
      <c r="I2" s="17"/>
      <c r="J2" s="17"/>
      <c r="K2" s="17"/>
    </row>
    <row r="3" spans="1:11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1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</row>
    <row r="5" spans="1:11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</row>
    <row r="6" spans="1:11">
      <c r="A6" s="18" t="s">
        <v>41</v>
      </c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1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1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1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1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</row>
    <row r="13" spans="1:11" ht="12.5" customHeight="1">
      <c r="A13" s="19" t="s">
        <v>43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</row>
    <row r="14" spans="1:11" ht="12.5" customHeight="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</row>
    <row r="15" spans="1:11" ht="28.5" customHeight="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</row>
    <row r="16" spans="1:1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</row>
    <row r="17" spans="1:1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</row>
  </sheetData>
  <mergeCells count="3">
    <mergeCell ref="A2:K5"/>
    <mergeCell ref="A6:K11"/>
    <mergeCell ref="A13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lectP">
                <anchor moveWithCells="1" sizeWithCells="1">
                  <from>
                    <xdr:col>8</xdr:col>
                    <xdr:colOff>711200</xdr:colOff>
                    <xdr:row>3</xdr:row>
                    <xdr:rowOff>50800</xdr:rowOff>
                  </from>
                  <to>
                    <xdr:col>11</xdr:col>
                    <xdr:colOff>0</xdr:colOff>
                    <xdr:row>5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S">
                <anchor moveWithCells="1" sizeWithCells="1">
                  <from>
                    <xdr:col>8</xdr:col>
                    <xdr:colOff>711200</xdr:colOff>
                    <xdr:row>5</xdr:row>
                    <xdr:rowOff>139700</xdr:rowOff>
                  </from>
                  <to>
                    <xdr:col>10</xdr:col>
                    <xdr:colOff>749300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24"/>
  <sheetViews>
    <sheetView workbookViewId="0">
      <selection activeCell="D36" sqref="D36"/>
    </sheetView>
  </sheetViews>
  <sheetFormatPr baseColWidth="10" defaultRowHeight="12" x14ac:dyDescent="0"/>
  <cols>
    <col min="1" max="1" width="18.5" bestFit="1" customWidth="1"/>
    <col min="2" max="2" width="27" bestFit="1" customWidth="1"/>
    <col min="3" max="3" width="7" bestFit="1" customWidth="1"/>
    <col min="4" max="4" width="15.83203125" customWidth="1"/>
    <col min="5" max="5" width="7.5" bestFit="1" customWidth="1"/>
    <col min="6" max="6" width="16.5" customWidth="1"/>
  </cols>
  <sheetData>
    <row r="1" spans="1:6" ht="18" customHeight="1">
      <c r="A1" s="7" t="s">
        <v>37</v>
      </c>
    </row>
    <row r="2" spans="1:6">
      <c r="C2" s="21" t="s">
        <v>31</v>
      </c>
      <c r="D2" s="22"/>
      <c r="E2" s="21" t="s">
        <v>32</v>
      </c>
      <c r="F2" s="22"/>
    </row>
    <row r="3" spans="1:6" ht="16" customHeight="1">
      <c r="A3" s="3" t="s">
        <v>33</v>
      </c>
      <c r="B3" s="3" t="s">
        <v>27</v>
      </c>
      <c r="C3" s="3" t="s">
        <v>30</v>
      </c>
      <c r="D3" s="3" t="s">
        <v>29</v>
      </c>
      <c r="E3" s="3" t="s">
        <v>30</v>
      </c>
      <c r="F3" s="3" t="s">
        <v>29</v>
      </c>
    </row>
    <row r="4" spans="1:6" ht="16" customHeight="1">
      <c r="A4" s="1" t="s">
        <v>11</v>
      </c>
      <c r="B4" s="1" t="s">
        <v>24</v>
      </c>
      <c r="C4" s="1">
        <v>20.079999999999998</v>
      </c>
      <c r="D4" s="8">
        <v>15</v>
      </c>
      <c r="E4" s="2">
        <v>17.322750616567529</v>
      </c>
      <c r="F4" s="8">
        <v>15</v>
      </c>
    </row>
    <row r="5" spans="1:6" ht="16" customHeight="1">
      <c r="A5" s="1" t="s">
        <v>14</v>
      </c>
      <c r="B5" s="1" t="s">
        <v>25</v>
      </c>
      <c r="C5" s="1">
        <v>90.17</v>
      </c>
      <c r="D5" s="8">
        <v>35</v>
      </c>
      <c r="E5" s="2">
        <v>91.165335241210144</v>
      </c>
      <c r="F5" s="8">
        <v>35</v>
      </c>
    </row>
    <row r="6" spans="1:6" ht="16" customHeight="1">
      <c r="A6" s="1" t="s">
        <v>10</v>
      </c>
      <c r="B6" s="1" t="s">
        <v>23</v>
      </c>
      <c r="C6" s="1">
        <v>40.15</v>
      </c>
      <c r="D6" s="8">
        <v>21</v>
      </c>
      <c r="E6" s="2">
        <v>38.25229083665338</v>
      </c>
      <c r="F6" s="8">
        <v>21</v>
      </c>
    </row>
    <row r="7" spans="1:6" ht="16" customHeight="1">
      <c r="A7" s="1" t="s">
        <v>8</v>
      </c>
      <c r="B7" s="1" t="s">
        <v>23</v>
      </c>
      <c r="C7" s="1">
        <v>40.200000000000003</v>
      </c>
      <c r="D7" s="8">
        <v>120</v>
      </c>
      <c r="E7" s="2">
        <v>39.67537982080249</v>
      </c>
      <c r="F7" s="8">
        <v>120</v>
      </c>
    </row>
    <row r="8" spans="1:6" ht="16" customHeight="1">
      <c r="A8" s="1" t="s">
        <v>28</v>
      </c>
      <c r="B8" s="1" t="s">
        <v>20</v>
      </c>
      <c r="C8" s="1">
        <v>10.7</v>
      </c>
      <c r="D8" s="8">
        <v>110</v>
      </c>
      <c r="E8" s="2">
        <v>10.361240164855751</v>
      </c>
      <c r="F8" s="8">
        <v>110</v>
      </c>
    </row>
    <row r="9" spans="1:6" ht="16" customHeight="1">
      <c r="A9" s="1" t="s">
        <v>15</v>
      </c>
      <c r="B9" s="1" t="s">
        <v>25</v>
      </c>
      <c r="C9" s="1">
        <v>34.200000000000003</v>
      </c>
      <c r="D9" s="8">
        <v>19</v>
      </c>
      <c r="E9" s="2">
        <v>34.400687980574666</v>
      </c>
      <c r="F9" s="8">
        <v>19</v>
      </c>
    </row>
    <row r="10" spans="1:6" ht="16" customHeight="1">
      <c r="A10" s="1" t="s">
        <v>17</v>
      </c>
      <c r="B10" s="1" t="s">
        <v>26</v>
      </c>
      <c r="C10" s="1">
        <v>26.36</v>
      </c>
      <c r="D10" s="8">
        <v>20</v>
      </c>
      <c r="E10" s="2">
        <v>26.604322672642088</v>
      </c>
      <c r="F10" s="8">
        <v>20</v>
      </c>
    </row>
    <row r="11" spans="1:6" ht="16" customHeight="1">
      <c r="A11" s="1" t="s">
        <v>5</v>
      </c>
      <c r="B11" s="1" t="s">
        <v>22</v>
      </c>
      <c r="C11" s="1">
        <v>11.6</v>
      </c>
      <c r="D11" s="8">
        <v>62</v>
      </c>
      <c r="E11" s="2">
        <v>11.870755704416998</v>
      </c>
      <c r="F11" s="8">
        <v>62</v>
      </c>
    </row>
    <row r="12" spans="1:6" ht="16" customHeight="1">
      <c r="A12" s="1" t="s">
        <v>3</v>
      </c>
      <c r="B12" s="1" t="s">
        <v>21</v>
      </c>
      <c r="C12" s="1">
        <v>8.5</v>
      </c>
      <c r="D12" s="8">
        <v>60</v>
      </c>
      <c r="E12" s="2">
        <v>8.6215284920798201</v>
      </c>
      <c r="F12" s="8">
        <v>60</v>
      </c>
    </row>
    <row r="13" spans="1:6" ht="16" customHeight="1">
      <c r="A13" s="1" t="s">
        <v>6</v>
      </c>
      <c r="B13" s="1" t="s">
        <v>22</v>
      </c>
      <c r="C13" s="1">
        <v>2.15</v>
      </c>
      <c r="D13" s="8">
        <v>1000</v>
      </c>
      <c r="E13" s="2">
        <v>1.6393044619422572</v>
      </c>
      <c r="F13" s="8">
        <v>1000</v>
      </c>
    </row>
    <row r="14" spans="1:6" ht="16" customHeight="1">
      <c r="A14" s="1" t="s">
        <v>4</v>
      </c>
      <c r="B14" s="1" t="s">
        <v>21</v>
      </c>
      <c r="C14" s="1">
        <v>66.400000000000006</v>
      </c>
      <c r="D14" s="8">
        <v>11</v>
      </c>
      <c r="E14" s="2">
        <v>67.597016162453386</v>
      </c>
      <c r="F14" s="8">
        <v>11</v>
      </c>
    </row>
    <row r="15" spans="1:6" ht="16" customHeight="1">
      <c r="A15" s="1" t="s">
        <v>9</v>
      </c>
      <c r="B15" s="1" t="s">
        <v>23</v>
      </c>
      <c r="C15" s="1">
        <v>2.5750000000000002</v>
      </c>
      <c r="D15" s="8">
        <v>300</v>
      </c>
      <c r="E15" s="2">
        <v>2.5972660223804684</v>
      </c>
      <c r="F15" s="8">
        <v>300</v>
      </c>
    </row>
    <row r="16" spans="1:6" ht="16" customHeight="1">
      <c r="A16" s="1" t="s">
        <v>7</v>
      </c>
      <c r="B16" s="1" t="s">
        <v>22</v>
      </c>
      <c r="C16" s="1">
        <v>82.98</v>
      </c>
      <c r="D16" s="8">
        <v>40</v>
      </c>
      <c r="E16" s="2">
        <v>83.628939670932354</v>
      </c>
      <c r="F16" s="8">
        <v>40</v>
      </c>
    </row>
    <row r="17" spans="1:6" ht="16" customHeight="1">
      <c r="A17" s="1" t="s">
        <v>18</v>
      </c>
      <c r="B17" s="1" t="s">
        <v>26</v>
      </c>
      <c r="C17" s="1">
        <v>30.44</v>
      </c>
      <c r="D17" s="8">
        <v>33</v>
      </c>
      <c r="E17" s="2">
        <v>31.031344275919391</v>
      </c>
      <c r="F17" s="8">
        <v>33</v>
      </c>
    </row>
    <row r="18" spans="1:6" ht="16" customHeight="1">
      <c r="A18" s="1" t="s">
        <v>12</v>
      </c>
      <c r="B18" s="1" t="s">
        <v>24</v>
      </c>
      <c r="C18" s="1">
        <v>67.5</v>
      </c>
      <c r="D18" s="8">
        <v>20</v>
      </c>
      <c r="E18" s="2">
        <v>69.456728734659322</v>
      </c>
      <c r="F18" s="8">
        <v>20</v>
      </c>
    </row>
    <row r="19" spans="1:6" ht="16" customHeight="1">
      <c r="A19" s="1" t="s">
        <v>1</v>
      </c>
      <c r="B19" s="1" t="s">
        <v>20</v>
      </c>
      <c r="C19" s="1">
        <v>55.1</v>
      </c>
      <c r="D19" s="8">
        <v>25</v>
      </c>
      <c r="E19" s="2">
        <v>53.923731571893548</v>
      </c>
      <c r="F19" s="8">
        <v>25</v>
      </c>
    </row>
    <row r="20" spans="1:6" ht="16" customHeight="1">
      <c r="A20" s="1" t="s">
        <v>16</v>
      </c>
      <c r="B20" s="1" t="s">
        <v>25</v>
      </c>
      <c r="C20" s="1">
        <v>94.11</v>
      </c>
      <c r="D20" s="8">
        <v>27</v>
      </c>
      <c r="E20" s="2">
        <v>93.460325443786999</v>
      </c>
      <c r="F20" s="8">
        <v>27</v>
      </c>
    </row>
    <row r="21" spans="1:6" ht="16" customHeight="1">
      <c r="A21" s="1" t="s">
        <v>2</v>
      </c>
      <c r="B21" s="1" t="s">
        <v>20</v>
      </c>
      <c r="C21" s="1">
        <v>85.1</v>
      </c>
      <c r="D21" s="8">
        <v>17</v>
      </c>
      <c r="E21" s="2">
        <v>88.145799399914267</v>
      </c>
      <c r="F21" s="8">
        <v>17</v>
      </c>
    </row>
    <row r="22" spans="1:6" ht="16" customHeight="1">
      <c r="A22" s="1" t="s">
        <v>0</v>
      </c>
      <c r="B22" s="1" t="s">
        <v>20</v>
      </c>
      <c r="C22" s="1">
        <v>37.9</v>
      </c>
      <c r="D22" s="8">
        <v>51</v>
      </c>
      <c r="E22" s="2">
        <v>39.165489652229574</v>
      </c>
      <c r="F22" s="8">
        <v>51</v>
      </c>
    </row>
    <row r="23" spans="1:6" ht="16" customHeight="1">
      <c r="A23" s="1" t="s">
        <v>13</v>
      </c>
      <c r="B23" s="1" t="s">
        <v>24</v>
      </c>
      <c r="C23" s="1">
        <v>7.9</v>
      </c>
      <c r="D23" s="8">
        <v>30</v>
      </c>
      <c r="E23" s="2">
        <v>8.0620133250052071</v>
      </c>
      <c r="F23" s="8">
        <v>30</v>
      </c>
    </row>
    <row r="24" spans="1:6" ht="16" customHeight="1">
      <c r="A24" s="1" t="s">
        <v>19</v>
      </c>
      <c r="B24" s="1" t="s">
        <v>26</v>
      </c>
      <c r="C24" s="1">
        <v>79.81</v>
      </c>
      <c r="D24" s="8">
        <v>10</v>
      </c>
      <c r="E24" s="2">
        <v>79.938105939004814</v>
      </c>
      <c r="F24" s="8">
        <v>10</v>
      </c>
    </row>
  </sheetData>
  <sortState ref="A5:F25">
    <sortCondition ref="A5"/>
  </sortState>
  <mergeCells count="2">
    <mergeCell ref="C2:D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lectIntro">
                <anchor moveWithCells="1" sizeWithCells="1">
                  <from>
                    <xdr:col>7</xdr:col>
                    <xdr:colOff>177800</xdr:colOff>
                    <xdr:row>2</xdr:row>
                    <xdr:rowOff>101600</xdr:rowOff>
                  </from>
                  <to>
                    <xdr:col>9</xdr:col>
                    <xdr:colOff>177800</xdr:colOff>
                    <xdr:row>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lectS">
                <anchor moveWithCells="1" sizeWithCells="1">
                  <from>
                    <xdr:col>7</xdr:col>
                    <xdr:colOff>203200</xdr:colOff>
                    <xdr:row>4</xdr:row>
                    <xdr:rowOff>152400</xdr:rowOff>
                  </from>
                  <to>
                    <xdr:col>9</xdr:col>
                    <xdr:colOff>203200</xdr:colOff>
                    <xdr:row>6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ProcPortSect">
                <anchor moveWithCells="1" sizeWithCells="1">
                  <from>
                    <xdr:col>7</xdr:col>
                    <xdr:colOff>177800</xdr:colOff>
                    <xdr:row>8</xdr:row>
                    <xdr:rowOff>25400</xdr:rowOff>
                  </from>
                  <to>
                    <xdr:col>9</xdr:col>
                    <xdr:colOff>266700</xdr:colOff>
                    <xdr:row>12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 enableFormatConditionsCalculation="0"/>
  <dimension ref="A2:E11"/>
  <sheetViews>
    <sheetView tabSelected="1" workbookViewId="0">
      <selection activeCell="A20" sqref="A20"/>
    </sheetView>
  </sheetViews>
  <sheetFormatPr baseColWidth="10" defaultRowHeight="12" x14ac:dyDescent="0"/>
  <cols>
    <col min="1" max="1" width="26" customWidth="1"/>
    <col min="3" max="3" width="12.5" bestFit="1" customWidth="1"/>
    <col min="5" max="5" width="10.83203125" style="15"/>
  </cols>
  <sheetData>
    <row r="2" spans="1:5">
      <c r="A2" s="6" t="s">
        <v>36</v>
      </c>
    </row>
    <row r="3" spans="1:5" ht="18" customHeight="1">
      <c r="A3" s="4"/>
      <c r="B3" s="5" t="s">
        <v>38</v>
      </c>
      <c r="C3" s="5" t="s">
        <v>39</v>
      </c>
      <c r="D3" s="5" t="s">
        <v>40</v>
      </c>
      <c r="E3" s="16" t="s">
        <v>34</v>
      </c>
    </row>
    <row r="4" spans="1:5" ht="18" customHeight="1">
      <c r="A4" s="12" t="s">
        <v>35</v>
      </c>
      <c r="B4" s="13">
        <f>SUMPRODUCT(CoursT*ActionT)</f>
        <v>30367.29</v>
      </c>
      <c r="C4" s="13">
        <f>SUMPRODUCT(CoursTmoins1*ActionTmoins1)</f>
        <v>29922.746251734672</v>
      </c>
      <c r="D4" s="13">
        <f>B4-C4</f>
        <v>444.54374826532876</v>
      </c>
      <c r="E4" s="14">
        <f>D4/C4</f>
        <v>1.4856381981969913E-2</v>
      </c>
    </row>
    <row r="5" spans="1:5" ht="18" customHeight="1">
      <c r="A5" s="12" t="s">
        <v>24</v>
      </c>
      <c r="B5" s="13">
        <f t="array" ref="B5">SUM(IF(A5=Secteur,CoursT*ActionT,0))</f>
        <v>1888.2</v>
      </c>
      <c r="C5" s="13">
        <f t="array" ref="C5">SUM(IF(A5=Secteur,CoursTmoins1*ActionTmoins1,0))</f>
        <v>1890.8362336918556</v>
      </c>
      <c r="D5" s="13">
        <f>B5-C5</f>
        <v>-2.6362336918555229</v>
      </c>
      <c r="E5" s="14">
        <f>D5/C5</f>
        <v>-1.3942157680722459E-3</v>
      </c>
    </row>
    <row r="6" spans="1:5" ht="18" customHeight="1">
      <c r="A6" s="12" t="s">
        <v>25</v>
      </c>
      <c r="B6" s="13">
        <f t="array" ref="B6">SUM(IF(A6=Secteur,CoursT*ActionT,0))</f>
        <v>6346.72</v>
      </c>
      <c r="C6" s="13">
        <f t="array" ref="C6">SUM(IF(A6=Secteur,CoursTmoins1*ActionTmoins1,0))</f>
        <v>6367.8285920555227</v>
      </c>
      <c r="D6" s="13">
        <f>B6-C6</f>
        <v>-21.108592055522422</v>
      </c>
      <c r="E6" s="14">
        <f>D6/C6</f>
        <v>-3.3148806929032947E-3</v>
      </c>
    </row>
    <row r="7" spans="1:5" ht="18" customHeight="1">
      <c r="A7" s="12" t="s">
        <v>23</v>
      </c>
      <c r="B7" s="13">
        <f t="array" ref="B7">SUM(IF(A7=Secteur,CoursT*ActionT,0))</f>
        <v>6439.65</v>
      </c>
      <c r="C7" s="13">
        <f t="array" ref="C7">SUM(IF(A7=Secteur,CoursTmoins1*ActionTmoins1,0))</f>
        <v>6343.5234927801603</v>
      </c>
      <c r="D7" s="13">
        <f>B7-C7</f>
        <v>96.126507219839368</v>
      </c>
      <c r="E7" s="14">
        <f>D7/C7</f>
        <v>1.515348801486195E-2</v>
      </c>
    </row>
    <row r="8" spans="1:5" ht="18" customHeight="1">
      <c r="A8" s="12" t="s">
        <v>22</v>
      </c>
      <c r="B8" s="13">
        <f t="array" ref="B8">SUM(IF(A8=Secteur,CoursT*ActionT,0))</f>
        <v>6188.4</v>
      </c>
      <c r="C8" s="13">
        <f t="array" ref="C8">SUM(IF(A8=Secteur,CoursTmoins1*ActionTmoins1,0))</f>
        <v>5720.448902453405</v>
      </c>
      <c r="D8" s="13">
        <f>B8-C8</f>
        <v>467.95109754659461</v>
      </c>
      <c r="E8" s="14">
        <f>D8/C8</f>
        <v>8.1803212567093858E-2</v>
      </c>
    </row>
    <row r="9" spans="1:5" ht="18" customHeight="1">
      <c r="A9" s="12" t="s">
        <v>26</v>
      </c>
      <c r="B9" s="13">
        <f t="array" ref="B9">SUM(IF(A9=Secteur,CoursT*ActionT,0))</f>
        <v>2329.8200000000002</v>
      </c>
      <c r="C9" s="13">
        <f t="array" ref="C9">SUM(IF(A9=Secteur,CoursTmoins1*ActionTmoins1,0))</f>
        <v>2355.5018739482298</v>
      </c>
      <c r="D9" s="13">
        <f>B9-C9</f>
        <v>-25.681873948229622</v>
      </c>
      <c r="E9" s="14">
        <f>D9/C9</f>
        <v>-1.090293080734525E-2</v>
      </c>
    </row>
    <row r="10" spans="1:5" ht="18" customHeight="1">
      <c r="A10" s="12" t="s">
        <v>20</v>
      </c>
      <c r="B10" s="13">
        <f t="array" ref="B10">SUM(IF(A10=Secteur,CoursT*ActionT,0))</f>
        <v>5934.0999999999995</v>
      </c>
      <c r="C10" s="13">
        <f t="array" ref="C10">SUM(IF(A10=Secteur,CoursTmoins1*ActionTmoins1,0))</f>
        <v>5983.7482694937225</v>
      </c>
      <c r="D10" s="13">
        <f>B10-C10</f>
        <v>-49.648269493723092</v>
      </c>
      <c r="E10" s="14">
        <f>D10/C10</f>
        <v>-8.2971855194576508E-3</v>
      </c>
    </row>
    <row r="11" spans="1:5" ht="18" customHeight="1">
      <c r="A11" s="12" t="s">
        <v>21</v>
      </c>
      <c r="B11" s="13">
        <f t="array" ref="B11">SUM(IF(A11=Secteur,CoursT*ActionT,0))</f>
        <v>1240.4000000000001</v>
      </c>
      <c r="C11" s="13">
        <f t="array" ref="C11">SUM(IF(A11=Secteur,CoursTmoins1*ActionTmoins1,0))</f>
        <v>1260.8588873117765</v>
      </c>
      <c r="D11" s="13">
        <f>B11-C11</f>
        <v>-20.45888731177638</v>
      </c>
      <c r="E11" s="14">
        <f>D11/C11</f>
        <v>-1.6226151489002787E-2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lectP">
                <anchor moveWithCells="1" sizeWithCells="1">
                  <from>
                    <xdr:col>8</xdr:col>
                    <xdr:colOff>25400</xdr:colOff>
                    <xdr:row>4</xdr:row>
                    <xdr:rowOff>101600</xdr:rowOff>
                  </from>
                  <to>
                    <xdr:col>10</xdr:col>
                    <xdr:colOff>63500</xdr:colOff>
                    <xdr:row>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lectIntro">
                <anchor moveWithCells="1" sizeWithCells="1">
                  <from>
                    <xdr:col>8</xdr:col>
                    <xdr:colOff>0</xdr:colOff>
                    <xdr:row>2</xdr:row>
                    <xdr:rowOff>101600</xdr:rowOff>
                  </from>
                  <to>
                    <xdr:col>10</xdr:col>
                    <xdr:colOff>25400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rocPortSect">
                <anchor moveWithCells="1" sizeWithCells="1">
                  <from>
                    <xdr:col>8</xdr:col>
                    <xdr:colOff>0</xdr:colOff>
                    <xdr:row>7</xdr:row>
                    <xdr:rowOff>12700</xdr:rowOff>
                  </from>
                  <to>
                    <xdr:col>10</xdr:col>
                    <xdr:colOff>88900</xdr:colOff>
                    <xdr:row>10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ffaceResults">
                <anchor moveWithCells="1" sizeWithCells="1">
                  <from>
                    <xdr:col>8</xdr:col>
                    <xdr:colOff>38100</xdr:colOff>
                    <xdr:row>12</xdr:row>
                    <xdr:rowOff>25400</xdr:rowOff>
                  </from>
                  <to>
                    <xdr:col>10</xdr:col>
                    <xdr:colOff>25400</xdr:colOff>
                    <xdr:row>14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Intro</vt:lpstr>
      <vt:lpstr>Portefeuille</vt:lpstr>
      <vt:lpstr>Synthèse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A Masson</cp:lastModifiedBy>
  <dcterms:created xsi:type="dcterms:W3CDTF">2012-11-08T09:31:52Z</dcterms:created>
  <dcterms:modified xsi:type="dcterms:W3CDTF">2015-12-01T11:17:20Z</dcterms:modified>
</cp:coreProperties>
</file>