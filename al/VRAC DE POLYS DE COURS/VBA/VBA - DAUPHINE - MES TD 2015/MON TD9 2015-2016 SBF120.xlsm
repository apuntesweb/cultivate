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8C4F1C90-05EB-6A55-5F09-09C24B55AC0B}"/>
  <workbookPr codeName="ThisWorkbook" autoCompressPictures="0"/>
  <bookViews>
    <workbookView xWindow="0" yWindow="0" windowWidth="20400" windowHeight="8140" activeTab="2"/>
  </bookViews>
  <sheets>
    <sheet name="Data" sheetId="1" r:id="rId1"/>
    <sheet name="SAV Data" sheetId="5" r:id="rId2"/>
    <sheet name="Liste" sheetId="4" r:id="rId3"/>
    <sheet name="Rendements" sheetId="2" r:id="rId4"/>
    <sheet name="SAV RENDEMENTS" sheetId="6" r:id="rId5"/>
  </sheets>
  <definedNames>
    <definedName name="_xlnm._FilterDatabase" localSheetId="0" hidden="1">Data!$A$4:$H$124</definedName>
    <definedName name="Capi_DP">Data!$E$5:$E$124</definedName>
    <definedName name="Capi_FP">Data!$F$5:$F$124</definedName>
    <definedName name="Poids">Data!$E$5:$E$124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1" l="1"/>
  <c r="G5" i="1"/>
  <c r="H5" i="1"/>
  <c r="D6" i="1"/>
  <c r="G6" i="1"/>
  <c r="H6" i="1"/>
  <c r="D7" i="1"/>
  <c r="G7" i="1"/>
  <c r="H7" i="1"/>
  <c r="D8" i="1"/>
  <c r="G8" i="1"/>
  <c r="H8" i="1"/>
  <c r="D9" i="1"/>
  <c r="G9" i="1"/>
  <c r="H9" i="1"/>
  <c r="D10" i="1"/>
  <c r="G10" i="1"/>
  <c r="H10" i="1"/>
  <c r="D11" i="1"/>
  <c r="G11" i="1"/>
  <c r="H11" i="1"/>
  <c r="D12" i="1"/>
  <c r="G12" i="1"/>
  <c r="H12" i="1"/>
  <c r="D13" i="1"/>
  <c r="G13" i="1"/>
  <c r="H13" i="1"/>
  <c r="D14" i="1"/>
  <c r="G14" i="1"/>
  <c r="H14" i="1"/>
  <c r="D15" i="1"/>
  <c r="G15" i="1"/>
  <c r="H15" i="1"/>
  <c r="D16" i="1"/>
  <c r="G16" i="1"/>
  <c r="H16" i="1"/>
  <c r="D17" i="1"/>
  <c r="G17" i="1"/>
  <c r="H17" i="1"/>
  <c r="D18" i="1"/>
  <c r="G18" i="1"/>
  <c r="H18" i="1"/>
  <c r="D19" i="1"/>
  <c r="G19" i="1"/>
  <c r="H19" i="1"/>
  <c r="D20" i="1"/>
  <c r="G20" i="1"/>
  <c r="H20" i="1"/>
  <c r="D21" i="1"/>
  <c r="G21" i="1"/>
  <c r="H21" i="1"/>
  <c r="D22" i="1"/>
  <c r="G22" i="1"/>
  <c r="H22" i="1"/>
  <c r="D23" i="1"/>
  <c r="G23" i="1"/>
  <c r="H23" i="1"/>
  <c r="D24" i="1"/>
  <c r="G24" i="1"/>
  <c r="H24" i="1"/>
  <c r="D25" i="1"/>
  <c r="G25" i="1"/>
  <c r="H25" i="1"/>
  <c r="D26" i="1"/>
  <c r="G26" i="1"/>
  <c r="H26" i="1"/>
  <c r="D27" i="1"/>
  <c r="G27" i="1"/>
  <c r="H27" i="1"/>
  <c r="D28" i="1"/>
  <c r="G28" i="1"/>
  <c r="H28" i="1"/>
  <c r="D29" i="1"/>
  <c r="G29" i="1"/>
  <c r="H29" i="1"/>
  <c r="D30" i="1"/>
  <c r="G30" i="1"/>
  <c r="H30" i="1"/>
  <c r="D31" i="1"/>
  <c r="G31" i="1"/>
  <c r="H31" i="1"/>
  <c r="D32" i="1"/>
  <c r="G32" i="1"/>
  <c r="H32" i="1"/>
  <c r="D33" i="1"/>
  <c r="G33" i="1"/>
  <c r="H33" i="1"/>
  <c r="D34" i="1"/>
  <c r="G34" i="1"/>
  <c r="H34" i="1"/>
  <c r="D35" i="1"/>
  <c r="G35" i="1"/>
  <c r="H35" i="1"/>
  <c r="D36" i="1"/>
  <c r="G36" i="1"/>
  <c r="H36" i="1"/>
  <c r="D37" i="1"/>
  <c r="G37" i="1"/>
  <c r="H37" i="1"/>
  <c r="D38" i="1"/>
  <c r="G38" i="1"/>
  <c r="H38" i="1"/>
  <c r="D39" i="1"/>
  <c r="G39" i="1"/>
  <c r="H39" i="1"/>
  <c r="D40" i="1"/>
  <c r="G40" i="1"/>
  <c r="H40" i="1"/>
  <c r="D41" i="1"/>
  <c r="G41" i="1"/>
  <c r="H41" i="1"/>
  <c r="D42" i="1"/>
  <c r="G42" i="1"/>
  <c r="H42" i="1"/>
  <c r="D43" i="1"/>
  <c r="G43" i="1"/>
  <c r="H43" i="1"/>
  <c r="D44" i="1"/>
  <c r="G44" i="1"/>
  <c r="H44" i="1"/>
  <c r="D45" i="1"/>
  <c r="G45" i="1"/>
  <c r="H45" i="1"/>
  <c r="D46" i="1"/>
  <c r="G46" i="1"/>
  <c r="H46" i="1"/>
  <c r="D47" i="1"/>
  <c r="G47" i="1"/>
  <c r="H47" i="1"/>
  <c r="D48" i="1"/>
  <c r="G48" i="1"/>
  <c r="H48" i="1"/>
  <c r="D49" i="1"/>
  <c r="G49" i="1"/>
  <c r="H49" i="1"/>
  <c r="D50" i="1"/>
  <c r="G50" i="1"/>
  <c r="H50" i="1"/>
  <c r="D51" i="1"/>
  <c r="G51" i="1"/>
  <c r="H51" i="1"/>
  <c r="D52" i="1"/>
  <c r="G52" i="1"/>
  <c r="H52" i="1"/>
  <c r="D53" i="1"/>
  <c r="G53" i="1"/>
  <c r="H53" i="1"/>
  <c r="D54" i="1"/>
  <c r="G54" i="1"/>
  <c r="H54" i="1"/>
  <c r="D55" i="1"/>
  <c r="G55" i="1"/>
  <c r="H55" i="1"/>
  <c r="D56" i="1"/>
  <c r="G56" i="1"/>
  <c r="H56" i="1"/>
  <c r="D57" i="1"/>
  <c r="G57" i="1"/>
  <c r="H57" i="1"/>
  <c r="D58" i="1"/>
  <c r="G58" i="1"/>
  <c r="H58" i="1"/>
  <c r="D59" i="1"/>
  <c r="G59" i="1"/>
  <c r="H59" i="1"/>
  <c r="D60" i="1"/>
  <c r="G60" i="1"/>
  <c r="H60" i="1"/>
  <c r="D61" i="1"/>
  <c r="G61" i="1"/>
  <c r="H61" i="1"/>
  <c r="D62" i="1"/>
  <c r="G62" i="1"/>
  <c r="H62" i="1"/>
  <c r="D63" i="1"/>
  <c r="G63" i="1"/>
  <c r="H63" i="1"/>
  <c r="D64" i="1"/>
  <c r="G64" i="1"/>
  <c r="H64" i="1"/>
  <c r="D65" i="1"/>
  <c r="G65" i="1"/>
  <c r="H65" i="1"/>
  <c r="D66" i="1"/>
  <c r="G66" i="1"/>
  <c r="H66" i="1"/>
  <c r="D67" i="1"/>
  <c r="G67" i="1"/>
  <c r="H67" i="1"/>
  <c r="D68" i="1"/>
  <c r="G68" i="1"/>
  <c r="H68" i="1"/>
  <c r="D69" i="1"/>
  <c r="G69" i="1"/>
  <c r="H69" i="1"/>
  <c r="D70" i="1"/>
  <c r="G70" i="1"/>
  <c r="H70" i="1"/>
  <c r="D71" i="1"/>
  <c r="G71" i="1"/>
  <c r="H71" i="1"/>
  <c r="D72" i="1"/>
  <c r="G72" i="1"/>
  <c r="H72" i="1"/>
  <c r="D73" i="1"/>
  <c r="G73" i="1"/>
  <c r="H73" i="1"/>
  <c r="D74" i="1"/>
  <c r="G74" i="1"/>
  <c r="H74" i="1"/>
  <c r="D75" i="1"/>
  <c r="G75" i="1"/>
  <c r="H75" i="1"/>
  <c r="D76" i="1"/>
  <c r="G76" i="1"/>
  <c r="H76" i="1"/>
  <c r="D77" i="1"/>
  <c r="G77" i="1"/>
  <c r="H77" i="1"/>
  <c r="D78" i="1"/>
  <c r="G78" i="1"/>
  <c r="H78" i="1"/>
  <c r="D79" i="1"/>
  <c r="G79" i="1"/>
  <c r="H79" i="1"/>
  <c r="D80" i="1"/>
  <c r="G80" i="1"/>
  <c r="H80" i="1"/>
  <c r="D81" i="1"/>
  <c r="G81" i="1"/>
  <c r="H81" i="1"/>
  <c r="D82" i="1"/>
  <c r="G82" i="1"/>
  <c r="H82" i="1"/>
  <c r="D83" i="1"/>
  <c r="G83" i="1"/>
  <c r="H83" i="1"/>
  <c r="D84" i="1"/>
  <c r="G84" i="1"/>
  <c r="H84" i="1"/>
  <c r="D85" i="1"/>
  <c r="G85" i="1"/>
  <c r="H85" i="1"/>
  <c r="D86" i="1"/>
  <c r="G86" i="1"/>
  <c r="H86" i="1"/>
  <c r="D87" i="1"/>
  <c r="G87" i="1"/>
  <c r="H87" i="1"/>
  <c r="D88" i="1"/>
  <c r="G88" i="1"/>
  <c r="H88" i="1"/>
  <c r="D89" i="1"/>
  <c r="G89" i="1"/>
  <c r="H89" i="1"/>
  <c r="D90" i="1"/>
  <c r="G90" i="1"/>
  <c r="H90" i="1"/>
  <c r="D91" i="1"/>
  <c r="G91" i="1"/>
  <c r="H91" i="1"/>
  <c r="D92" i="1"/>
  <c r="G92" i="1"/>
  <c r="H92" i="1"/>
  <c r="D93" i="1"/>
  <c r="G93" i="1"/>
  <c r="H93" i="1"/>
  <c r="D94" i="1"/>
  <c r="G94" i="1"/>
  <c r="H94" i="1"/>
  <c r="D95" i="1"/>
  <c r="G95" i="1"/>
  <c r="H95" i="1"/>
  <c r="D96" i="1"/>
  <c r="G96" i="1"/>
  <c r="H96" i="1"/>
  <c r="D97" i="1"/>
  <c r="G97" i="1"/>
  <c r="H97" i="1"/>
  <c r="D98" i="1"/>
  <c r="G98" i="1"/>
  <c r="H98" i="1"/>
  <c r="D99" i="1"/>
  <c r="G99" i="1"/>
  <c r="H99" i="1"/>
  <c r="D100" i="1"/>
  <c r="G100" i="1"/>
  <c r="H100" i="1"/>
  <c r="D101" i="1"/>
  <c r="G101" i="1"/>
  <c r="H101" i="1"/>
  <c r="D102" i="1"/>
  <c r="G102" i="1"/>
  <c r="H102" i="1"/>
  <c r="D103" i="1"/>
  <c r="G103" i="1"/>
  <c r="H103" i="1"/>
  <c r="D104" i="1"/>
  <c r="G104" i="1"/>
  <c r="H104" i="1"/>
  <c r="D105" i="1"/>
  <c r="G105" i="1"/>
  <c r="H105" i="1"/>
  <c r="D106" i="1"/>
  <c r="G106" i="1"/>
  <c r="H106" i="1"/>
  <c r="D107" i="1"/>
  <c r="G107" i="1"/>
  <c r="H107" i="1"/>
  <c r="D108" i="1"/>
  <c r="G108" i="1"/>
  <c r="H108" i="1"/>
  <c r="D109" i="1"/>
  <c r="G109" i="1"/>
  <c r="H109" i="1"/>
  <c r="D110" i="1"/>
  <c r="G110" i="1"/>
  <c r="H110" i="1"/>
  <c r="D111" i="1"/>
  <c r="G111" i="1"/>
  <c r="H111" i="1"/>
  <c r="D112" i="1"/>
  <c r="G112" i="1"/>
  <c r="H112" i="1"/>
  <c r="D113" i="1"/>
  <c r="G113" i="1"/>
  <c r="H113" i="1"/>
  <c r="D114" i="1"/>
  <c r="G114" i="1"/>
  <c r="H114" i="1"/>
  <c r="D115" i="1"/>
  <c r="G115" i="1"/>
  <c r="H115" i="1"/>
  <c r="D116" i="1"/>
  <c r="G116" i="1"/>
  <c r="H116" i="1"/>
  <c r="D117" i="1"/>
  <c r="G117" i="1"/>
  <c r="H117" i="1"/>
  <c r="D118" i="1"/>
  <c r="G118" i="1"/>
  <c r="H118" i="1"/>
  <c r="D119" i="1"/>
  <c r="G119" i="1"/>
  <c r="H119" i="1"/>
  <c r="D120" i="1"/>
  <c r="G120" i="1"/>
  <c r="H120" i="1"/>
  <c r="D121" i="1"/>
  <c r="G121" i="1"/>
  <c r="H121" i="1"/>
  <c r="D122" i="1"/>
  <c r="G122" i="1"/>
  <c r="H122" i="1"/>
  <c r="D123" i="1"/>
  <c r="G123" i="1"/>
  <c r="H123" i="1"/>
  <c r="D124" i="1"/>
  <c r="G124" i="1"/>
  <c r="H12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C5" i="2"/>
  <c r="C4" i="2"/>
  <c r="B5" i="2"/>
  <c r="B4" i="2"/>
  <c r="B3" i="2"/>
  <c r="G124" i="5"/>
  <c r="D124" i="5"/>
  <c r="H124" i="5"/>
  <c r="F124" i="5"/>
  <c r="G123" i="5"/>
  <c r="D123" i="5"/>
  <c r="H123" i="5"/>
  <c r="F123" i="5"/>
  <c r="G122" i="5"/>
  <c r="D122" i="5"/>
  <c r="H122" i="5"/>
  <c r="F122" i="5"/>
  <c r="G121" i="5"/>
  <c r="D121" i="5"/>
  <c r="H121" i="5"/>
  <c r="F121" i="5"/>
  <c r="G120" i="5"/>
  <c r="D120" i="5"/>
  <c r="H120" i="5"/>
  <c r="F120" i="5"/>
  <c r="G119" i="5"/>
  <c r="D119" i="5"/>
  <c r="H119" i="5"/>
  <c r="F119" i="5"/>
  <c r="G118" i="5"/>
  <c r="D118" i="5"/>
  <c r="H118" i="5"/>
  <c r="F118" i="5"/>
  <c r="G117" i="5"/>
  <c r="D117" i="5"/>
  <c r="H117" i="5"/>
  <c r="F117" i="5"/>
  <c r="G116" i="5"/>
  <c r="D116" i="5"/>
  <c r="H116" i="5"/>
  <c r="F116" i="5"/>
  <c r="G115" i="5"/>
  <c r="D115" i="5"/>
  <c r="H115" i="5"/>
  <c r="F115" i="5"/>
  <c r="G114" i="5"/>
  <c r="D114" i="5"/>
  <c r="H114" i="5"/>
  <c r="F114" i="5"/>
  <c r="G113" i="5"/>
  <c r="D113" i="5"/>
  <c r="H113" i="5"/>
  <c r="F113" i="5"/>
  <c r="G112" i="5"/>
  <c r="D112" i="5"/>
  <c r="H112" i="5"/>
  <c r="F112" i="5"/>
  <c r="G111" i="5"/>
  <c r="D111" i="5"/>
  <c r="H111" i="5"/>
  <c r="F111" i="5"/>
  <c r="G110" i="5"/>
  <c r="D110" i="5"/>
  <c r="H110" i="5"/>
  <c r="F110" i="5"/>
  <c r="G109" i="5"/>
  <c r="D109" i="5"/>
  <c r="F109" i="5"/>
  <c r="G108" i="5"/>
  <c r="D108" i="5"/>
  <c r="F108" i="5"/>
  <c r="G107" i="5"/>
  <c r="D107" i="5"/>
  <c r="F107" i="5"/>
  <c r="G106" i="5"/>
  <c r="D106" i="5"/>
  <c r="F106" i="5"/>
  <c r="G105" i="5"/>
  <c r="D105" i="5"/>
  <c r="F105" i="5"/>
  <c r="G104" i="5"/>
  <c r="D104" i="5"/>
  <c r="F104" i="5"/>
  <c r="G103" i="5"/>
  <c r="D103" i="5"/>
  <c r="F103" i="5"/>
  <c r="G102" i="5"/>
  <c r="D102" i="5"/>
  <c r="F102" i="5"/>
  <c r="G101" i="5"/>
  <c r="D101" i="5"/>
  <c r="H101" i="5"/>
  <c r="F101" i="5"/>
  <c r="G100" i="5"/>
  <c r="D100" i="5"/>
  <c r="H100" i="5"/>
  <c r="F100" i="5"/>
  <c r="G99" i="5"/>
  <c r="D99" i="5"/>
  <c r="H99" i="5"/>
  <c r="F99" i="5"/>
  <c r="G98" i="5"/>
  <c r="D98" i="5"/>
  <c r="H98" i="5"/>
  <c r="F98" i="5"/>
  <c r="G97" i="5"/>
  <c r="D97" i="5"/>
  <c r="H97" i="5"/>
  <c r="F97" i="5"/>
  <c r="G96" i="5"/>
  <c r="D96" i="5"/>
  <c r="H96" i="5"/>
  <c r="F96" i="5"/>
  <c r="G95" i="5"/>
  <c r="D95" i="5"/>
  <c r="H95" i="5"/>
  <c r="F95" i="5"/>
  <c r="G94" i="5"/>
  <c r="D94" i="5"/>
  <c r="H94" i="5"/>
  <c r="F94" i="5"/>
  <c r="G93" i="5"/>
  <c r="D93" i="5"/>
  <c r="H93" i="5"/>
  <c r="F93" i="5"/>
  <c r="G92" i="5"/>
  <c r="D92" i="5"/>
  <c r="H92" i="5"/>
  <c r="F92" i="5"/>
  <c r="G91" i="5"/>
  <c r="D91" i="5"/>
  <c r="H91" i="5"/>
  <c r="F91" i="5"/>
  <c r="G90" i="5"/>
  <c r="D90" i="5"/>
  <c r="H90" i="5"/>
  <c r="F90" i="5"/>
  <c r="G89" i="5"/>
  <c r="D89" i="5"/>
  <c r="H89" i="5"/>
  <c r="F89" i="5"/>
  <c r="G88" i="5"/>
  <c r="D88" i="5"/>
  <c r="H88" i="5"/>
  <c r="F88" i="5"/>
  <c r="G87" i="5"/>
  <c r="D87" i="5"/>
  <c r="H87" i="5"/>
  <c r="F87" i="5"/>
  <c r="G86" i="5"/>
  <c r="D86" i="5"/>
  <c r="H86" i="5"/>
  <c r="F86" i="5"/>
  <c r="G85" i="5"/>
  <c r="D85" i="5"/>
  <c r="H85" i="5"/>
  <c r="F85" i="5"/>
  <c r="G84" i="5"/>
  <c r="D84" i="5"/>
  <c r="H84" i="5"/>
  <c r="F84" i="5"/>
  <c r="G83" i="5"/>
  <c r="D83" i="5"/>
  <c r="H83" i="5"/>
  <c r="F83" i="5"/>
  <c r="G82" i="5"/>
  <c r="D82" i="5"/>
  <c r="H82" i="5"/>
  <c r="F82" i="5"/>
  <c r="G81" i="5"/>
  <c r="D81" i="5"/>
  <c r="H81" i="5"/>
  <c r="F81" i="5"/>
  <c r="G80" i="5"/>
  <c r="D80" i="5"/>
  <c r="H80" i="5"/>
  <c r="F80" i="5"/>
  <c r="G79" i="5"/>
  <c r="D79" i="5"/>
  <c r="H79" i="5"/>
  <c r="F79" i="5"/>
  <c r="G78" i="5"/>
  <c r="D78" i="5"/>
  <c r="H78" i="5"/>
  <c r="F78" i="5"/>
  <c r="G77" i="5"/>
  <c r="D77" i="5"/>
  <c r="H77" i="5"/>
  <c r="F77" i="5"/>
  <c r="G76" i="5"/>
  <c r="D76" i="5"/>
  <c r="H76" i="5"/>
  <c r="F76" i="5"/>
  <c r="G75" i="5"/>
  <c r="D75" i="5"/>
  <c r="H75" i="5"/>
  <c r="F75" i="5"/>
  <c r="G74" i="5"/>
  <c r="D74" i="5"/>
  <c r="H74" i="5"/>
  <c r="F74" i="5"/>
  <c r="G73" i="5"/>
  <c r="D73" i="5"/>
  <c r="H73" i="5"/>
  <c r="F73" i="5"/>
  <c r="G72" i="5"/>
  <c r="D72" i="5"/>
  <c r="H72" i="5"/>
  <c r="F72" i="5"/>
  <c r="G71" i="5"/>
  <c r="D71" i="5"/>
  <c r="H71" i="5"/>
  <c r="F71" i="5"/>
  <c r="G70" i="5"/>
  <c r="D70" i="5"/>
  <c r="H70" i="5"/>
  <c r="F70" i="5"/>
  <c r="G69" i="5"/>
  <c r="D69" i="5"/>
  <c r="H69" i="5"/>
  <c r="F69" i="5"/>
  <c r="G68" i="5"/>
  <c r="D68" i="5"/>
  <c r="H68" i="5"/>
  <c r="F68" i="5"/>
  <c r="G67" i="5"/>
  <c r="D67" i="5"/>
  <c r="H67" i="5"/>
  <c r="F67" i="5"/>
  <c r="G66" i="5"/>
  <c r="D66" i="5"/>
  <c r="H66" i="5"/>
  <c r="F66" i="5"/>
  <c r="G65" i="5"/>
  <c r="D65" i="5"/>
  <c r="H65" i="5"/>
  <c r="F65" i="5"/>
  <c r="G64" i="5"/>
  <c r="D64" i="5"/>
  <c r="H64" i="5"/>
  <c r="F64" i="5"/>
  <c r="G63" i="5"/>
  <c r="D63" i="5"/>
  <c r="H63" i="5"/>
  <c r="F63" i="5"/>
  <c r="G62" i="5"/>
  <c r="D62" i="5"/>
  <c r="H62" i="5"/>
  <c r="F62" i="5"/>
  <c r="G61" i="5"/>
  <c r="D61" i="5"/>
  <c r="H61" i="5"/>
  <c r="F61" i="5"/>
  <c r="G60" i="5"/>
  <c r="D60" i="5"/>
  <c r="H60" i="5"/>
  <c r="F60" i="5"/>
  <c r="G59" i="5"/>
  <c r="D59" i="5"/>
  <c r="H59" i="5"/>
  <c r="F59" i="5"/>
  <c r="G58" i="5"/>
  <c r="D58" i="5"/>
  <c r="H58" i="5"/>
  <c r="F58" i="5"/>
  <c r="G57" i="5"/>
  <c r="D57" i="5"/>
  <c r="H57" i="5"/>
  <c r="F57" i="5"/>
  <c r="G56" i="5"/>
  <c r="D56" i="5"/>
  <c r="H56" i="5"/>
  <c r="F56" i="5"/>
  <c r="G55" i="5"/>
  <c r="D55" i="5"/>
  <c r="H55" i="5"/>
  <c r="F55" i="5"/>
  <c r="G54" i="5"/>
  <c r="D54" i="5"/>
  <c r="H54" i="5"/>
  <c r="F54" i="5"/>
  <c r="G53" i="5"/>
  <c r="D53" i="5"/>
  <c r="H53" i="5"/>
  <c r="F53" i="5"/>
  <c r="G52" i="5"/>
  <c r="D52" i="5"/>
  <c r="H52" i="5"/>
  <c r="F52" i="5"/>
  <c r="G51" i="5"/>
  <c r="D51" i="5"/>
  <c r="F51" i="5"/>
  <c r="G50" i="5"/>
  <c r="D50" i="5"/>
  <c r="F50" i="5"/>
  <c r="G49" i="5"/>
  <c r="D49" i="5"/>
  <c r="F49" i="5"/>
  <c r="G48" i="5"/>
  <c r="D48" i="5"/>
  <c r="F48" i="5"/>
  <c r="G47" i="5"/>
  <c r="D47" i="5"/>
  <c r="F47" i="5"/>
  <c r="G46" i="5"/>
  <c r="D46" i="5"/>
  <c r="F46" i="5"/>
  <c r="G45" i="5"/>
  <c r="D45" i="5"/>
  <c r="H45" i="5"/>
  <c r="F45" i="5"/>
  <c r="G44" i="5"/>
  <c r="D44" i="5"/>
  <c r="H44" i="5"/>
  <c r="F44" i="5"/>
  <c r="G43" i="5"/>
  <c r="D43" i="5"/>
  <c r="H43" i="5"/>
  <c r="F43" i="5"/>
  <c r="G42" i="5"/>
  <c r="D42" i="5"/>
  <c r="H42" i="5"/>
  <c r="F42" i="5"/>
  <c r="G41" i="5"/>
  <c r="D41" i="5"/>
  <c r="H41" i="5"/>
  <c r="F41" i="5"/>
  <c r="G40" i="5"/>
  <c r="D40" i="5"/>
  <c r="H40" i="5"/>
  <c r="F40" i="5"/>
  <c r="G39" i="5"/>
  <c r="D39" i="5"/>
  <c r="H39" i="5"/>
  <c r="F39" i="5"/>
  <c r="G38" i="5"/>
  <c r="D38" i="5"/>
  <c r="H38" i="5"/>
  <c r="F38" i="5"/>
  <c r="G37" i="5"/>
  <c r="D37" i="5"/>
  <c r="H37" i="5"/>
  <c r="F37" i="5"/>
  <c r="G36" i="5"/>
  <c r="D36" i="5"/>
  <c r="H36" i="5"/>
  <c r="F36" i="5"/>
  <c r="G35" i="5"/>
  <c r="D35" i="5"/>
  <c r="H35" i="5"/>
  <c r="F35" i="5"/>
  <c r="G34" i="5"/>
  <c r="D34" i="5"/>
  <c r="H34" i="5"/>
  <c r="F34" i="5"/>
  <c r="G33" i="5"/>
  <c r="D33" i="5"/>
  <c r="H33" i="5"/>
  <c r="F33" i="5"/>
  <c r="G32" i="5"/>
  <c r="D32" i="5"/>
  <c r="H32" i="5"/>
  <c r="F32" i="5"/>
  <c r="G31" i="5"/>
  <c r="D31" i="5"/>
  <c r="H31" i="5"/>
  <c r="F31" i="5"/>
  <c r="G30" i="5"/>
  <c r="D30" i="5"/>
  <c r="H30" i="5"/>
  <c r="F30" i="5"/>
  <c r="G29" i="5"/>
  <c r="D29" i="5"/>
  <c r="H29" i="5"/>
  <c r="F29" i="5"/>
  <c r="G28" i="5"/>
  <c r="D28" i="5"/>
  <c r="H28" i="5"/>
  <c r="F28" i="5"/>
  <c r="G27" i="5"/>
  <c r="D27" i="5"/>
  <c r="H27" i="5"/>
  <c r="F27" i="5"/>
  <c r="G26" i="5"/>
  <c r="D26" i="5"/>
  <c r="H26" i="5"/>
  <c r="F26" i="5"/>
  <c r="G25" i="5"/>
  <c r="D25" i="5"/>
  <c r="H25" i="5"/>
  <c r="F25" i="5"/>
  <c r="G24" i="5"/>
  <c r="D24" i="5"/>
  <c r="H24" i="5"/>
  <c r="F24" i="5"/>
  <c r="G23" i="5"/>
  <c r="D23" i="5"/>
  <c r="H23" i="5"/>
  <c r="F23" i="5"/>
  <c r="G22" i="5"/>
  <c r="D22" i="5"/>
  <c r="H22" i="5"/>
  <c r="F22" i="5"/>
  <c r="G21" i="5"/>
  <c r="D21" i="5"/>
  <c r="H21" i="5"/>
  <c r="F21" i="5"/>
  <c r="G20" i="5"/>
  <c r="D20" i="5"/>
  <c r="H20" i="5"/>
  <c r="F20" i="5"/>
  <c r="G19" i="5"/>
  <c r="D19" i="5"/>
  <c r="H19" i="5"/>
  <c r="F19" i="5"/>
  <c r="G18" i="5"/>
  <c r="D18" i="5"/>
  <c r="H18" i="5"/>
  <c r="F18" i="5"/>
  <c r="G17" i="5"/>
  <c r="D17" i="5"/>
  <c r="H17" i="5"/>
  <c r="F17" i="5"/>
  <c r="G16" i="5"/>
  <c r="D16" i="5"/>
  <c r="H16" i="5"/>
  <c r="F16" i="5"/>
  <c r="G15" i="5"/>
  <c r="D15" i="5"/>
  <c r="H15" i="5"/>
  <c r="F15" i="5"/>
  <c r="G14" i="5"/>
  <c r="D14" i="5"/>
  <c r="H14" i="5"/>
  <c r="F14" i="5"/>
  <c r="G13" i="5"/>
  <c r="D13" i="5"/>
  <c r="H13" i="5"/>
  <c r="F13" i="5"/>
  <c r="G12" i="5"/>
  <c r="D12" i="5"/>
  <c r="H12" i="5"/>
  <c r="F12" i="5"/>
  <c r="G11" i="5"/>
  <c r="D11" i="5"/>
  <c r="H11" i="5"/>
  <c r="F11" i="5"/>
  <c r="G10" i="5"/>
  <c r="D10" i="5"/>
  <c r="H10" i="5"/>
  <c r="F10" i="5"/>
  <c r="G9" i="5"/>
  <c r="D9" i="5"/>
  <c r="H9" i="5"/>
  <c r="F9" i="5"/>
  <c r="G8" i="5"/>
  <c r="D8" i="5"/>
  <c r="H8" i="5"/>
  <c r="F8" i="5"/>
  <c r="G7" i="5"/>
  <c r="D7" i="5"/>
  <c r="H7" i="5"/>
  <c r="F7" i="5"/>
  <c r="G6" i="5"/>
  <c r="D6" i="5"/>
  <c r="H6" i="5"/>
  <c r="F6" i="5"/>
  <c r="G5" i="5"/>
  <c r="D5" i="5"/>
  <c r="H5" i="5"/>
  <c r="F5" i="5"/>
  <c r="B3" i="6"/>
  <c r="H46" i="5"/>
  <c r="H47" i="5"/>
  <c r="H48" i="5"/>
  <c r="H49" i="5"/>
  <c r="H50" i="5"/>
  <c r="H51" i="5"/>
  <c r="H102" i="5"/>
  <c r="H103" i="5"/>
  <c r="H104" i="5"/>
  <c r="H105" i="5"/>
  <c r="H106" i="5"/>
  <c r="H107" i="5"/>
  <c r="H108" i="5"/>
  <c r="H109" i="5"/>
</calcChain>
</file>

<file path=xl/sharedStrings.xml><?xml version="1.0" encoding="utf-8"?>
<sst xmlns="http://schemas.openxmlformats.org/spreadsheetml/2006/main" count="281" uniqueCount="139">
  <si>
    <t>L'OREAL</t>
  </si>
  <si>
    <t>VICAT</t>
  </si>
  <si>
    <t>ALTEN</t>
  </si>
  <si>
    <t>SODEXO</t>
  </si>
  <si>
    <t>AIR LIQUIDE</t>
  </si>
  <si>
    <t>VIVENDI</t>
  </si>
  <si>
    <t>EURAZEO</t>
  </si>
  <si>
    <t>BOUYGUES</t>
  </si>
  <si>
    <t>TOTAL</t>
  </si>
  <si>
    <t>NEXITY</t>
  </si>
  <si>
    <t>SAFRAN</t>
  </si>
  <si>
    <t>PEUGEOT</t>
  </si>
  <si>
    <t>ALSTOM</t>
  </si>
  <si>
    <t>SCHNEIDER ELECTRIC</t>
  </si>
  <si>
    <t>CNP ASSURANCES</t>
  </si>
  <si>
    <t>HERMES INTERNATIONAL</t>
  </si>
  <si>
    <t>SAFT</t>
  </si>
  <si>
    <t>ZODIAC AEROSPACE</t>
  </si>
  <si>
    <t>DANONE</t>
  </si>
  <si>
    <t>RUBIS</t>
  </si>
  <si>
    <t>EUROFINS SCIENTIFIC</t>
  </si>
  <si>
    <t>KLEPIERRE</t>
  </si>
  <si>
    <t>IMERYS</t>
  </si>
  <si>
    <t>STMICROELECTRONICS</t>
  </si>
  <si>
    <t>Capitalisation</t>
  </si>
  <si>
    <t>SANOFI</t>
  </si>
  <si>
    <t>LVMH</t>
  </si>
  <si>
    <t>BNP PARIBAS</t>
  </si>
  <si>
    <t>GDF SUEZ</t>
  </si>
  <si>
    <t>AXA</t>
  </si>
  <si>
    <t>EDF</t>
  </si>
  <si>
    <t>AIRBUS GROUP (EX-EADS)</t>
  </si>
  <si>
    <t>ORANGE (EX-FRANCE TELECOM)</t>
  </si>
  <si>
    <t>SOCIETE GENERALE</t>
  </si>
  <si>
    <t>CREDIT AGRICOLE</t>
  </si>
  <si>
    <t>VINCI</t>
  </si>
  <si>
    <t>PERNOD RICARD</t>
  </si>
  <si>
    <t>SAINT-GOBAIN</t>
  </si>
  <si>
    <t>KERING (EX-PPR)</t>
  </si>
  <si>
    <t>UNIBAIL-RODAMCO</t>
  </si>
  <si>
    <t>RENAULT</t>
  </si>
  <si>
    <t>ESSILOR INTERNATIONAL</t>
  </si>
  <si>
    <t>CARREFOUR</t>
  </si>
  <si>
    <t>NATIXIS</t>
  </si>
  <si>
    <t>ARCELORMITTAL</t>
  </si>
  <si>
    <t>LAFARGE</t>
  </si>
  <si>
    <t>MICHELIN</t>
  </si>
  <si>
    <t>DASSAULT SYSTEMES</t>
  </si>
  <si>
    <t>NUMERICABLE</t>
  </si>
  <si>
    <t>PUBLICIS</t>
  </si>
  <si>
    <t>ILIAD</t>
  </si>
  <si>
    <t>LEGRAND</t>
  </si>
  <si>
    <t>BOLLORE</t>
  </si>
  <si>
    <t>SES</t>
  </si>
  <si>
    <t>AEROPORTS DE PARIS</t>
  </si>
  <si>
    <t>SOLVAY</t>
  </si>
  <si>
    <t>CAPGEMINI</t>
  </si>
  <si>
    <t>THALES</t>
  </si>
  <si>
    <t>CASINO GUICHARD PERRACHON</t>
  </si>
  <si>
    <t>BUREAU VERITAS</t>
  </si>
  <si>
    <t>ACCOR</t>
  </si>
  <si>
    <t>VEOLIA ENVIRONNEMENT</t>
  </si>
  <si>
    <t>ALCATEL-LUCENT</t>
  </si>
  <si>
    <t>VALEO</t>
  </si>
  <si>
    <t>SUEZ ENVIRONNEMENT</t>
  </si>
  <si>
    <t>GECINA</t>
  </si>
  <si>
    <t>TECHNIP</t>
  </si>
  <si>
    <t>GEMALTO</t>
  </si>
  <si>
    <t>JCDECAUX</t>
  </si>
  <si>
    <t>EUTELSAT</t>
  </si>
  <si>
    <t>ATOS (EX-ATOS ORIGIN)</t>
  </si>
  <si>
    <t>GROUPE EUROTUNNEL</t>
  </si>
  <si>
    <t>EDENRED</t>
  </si>
  <si>
    <t>BIC</t>
  </si>
  <si>
    <t>SCOR SE</t>
  </si>
  <si>
    <t>INGENICO</t>
  </si>
  <si>
    <t>FONCIERE DES REGIONS</t>
  </si>
  <si>
    <t>ICADE</t>
  </si>
  <si>
    <t>WENDEL</t>
  </si>
  <si>
    <t>REXEL</t>
  </si>
  <si>
    <t>VALLOUREC</t>
  </si>
  <si>
    <t>AREVA</t>
  </si>
  <si>
    <t>EIFFAGE</t>
  </si>
  <si>
    <t>FAURECIA</t>
  </si>
  <si>
    <t>EULER HERMES GROUP</t>
  </si>
  <si>
    <t>IPSEN</t>
  </si>
  <si>
    <t>BIOMERIEUX</t>
  </si>
  <si>
    <t>ARKEMA</t>
  </si>
  <si>
    <t>SEB</t>
  </si>
  <si>
    <t>TELEPERFORMANCE (EX - SR TELEPERFORMANCE)</t>
  </si>
  <si>
    <t>PLASTIC OMNIUM</t>
  </si>
  <si>
    <t>LAGARDERE</t>
  </si>
  <si>
    <t>REMY COINTREAU</t>
  </si>
  <si>
    <t>HAVAS</t>
  </si>
  <si>
    <t>ORPEA</t>
  </si>
  <si>
    <t>TF1</t>
  </si>
  <si>
    <t>KORIAN-MEDICA</t>
  </si>
  <si>
    <t>SARTORIUS STEDIM BIOTECH (EX-STEDIM)</t>
  </si>
  <si>
    <t>AIR FRANCE KLM</t>
  </si>
  <si>
    <t>ERAMET</t>
  </si>
  <si>
    <t>APERAM</t>
  </si>
  <si>
    <t>NEOPOST</t>
  </si>
  <si>
    <t>M6 METROPOLE TELEVISION</t>
  </si>
  <si>
    <t>MERCIALYS</t>
  </si>
  <si>
    <t>TECHNICOLOR</t>
  </si>
  <si>
    <t>VILMORIN ET CIE</t>
  </si>
  <si>
    <t>GTT</t>
  </si>
  <si>
    <t>VIRBAC</t>
  </si>
  <si>
    <t>UBISOFT</t>
  </si>
  <si>
    <t>CGG (EX-CGGVERITAS)</t>
  </si>
  <si>
    <t>TARKETT</t>
  </si>
  <si>
    <t>ALTRAN TECHNOLOGIES</t>
  </si>
  <si>
    <t>SOPRA STERIA GROUP</t>
  </si>
  <si>
    <t>NEXANS</t>
  </si>
  <si>
    <t>IPSOS</t>
  </si>
  <si>
    <t>MAUREL &amp; PROM</t>
  </si>
  <si>
    <t>GENFIT</t>
  </si>
  <si>
    <t>MONTUPET</t>
  </si>
  <si>
    <t>SOLOCAL GROUP (EX-PAGESJAUNES)</t>
  </si>
  <si>
    <t>SOITEC</t>
  </si>
  <si>
    <t>GAMELOFT</t>
  </si>
  <si>
    <t>Titre</t>
  </si>
  <si>
    <t xml:space="preserve">Composition de l'indice SBF 120 </t>
  </si>
  <si>
    <t>Cours et rendements des titres le 26/11/2014</t>
  </si>
  <si>
    <t>Pondération</t>
  </si>
  <si>
    <t>Contribution</t>
  </si>
  <si>
    <t>Cours
25/11</t>
  </si>
  <si>
    <t>Cours
26/11</t>
  </si>
  <si>
    <t>Rendement</t>
  </si>
  <si>
    <t>SBF 120</t>
  </si>
  <si>
    <t>Tableau 1. Listes des 30 plus  grandes capitalisations</t>
  </si>
  <si>
    <t>Tableau 2. Listes des 30 plus petites capitalisations</t>
  </si>
  <si>
    <t>Tableau 3. Rendements et contribution des grandes et petites capitalisations</t>
  </si>
  <si>
    <t>Capitalisation au 25/11
(en milliards d'euros</t>
  </si>
  <si>
    <t>Capitalisation au 26/11
(en milliards d'euros</t>
  </si>
  <si>
    <t>Rendements</t>
  </si>
  <si>
    <t>Grandes capitalisations</t>
  </si>
  <si>
    <t>Petites capitalisations</t>
  </si>
  <si>
    <t>MDP MASSAL10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</si>
</sst>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#,##0.00\ &quot;€&quot;;[Red]\-#,##0.00\ &quot;€&quot;"/>
    <numFmt numFmtId="164" formatCode="0.000%"/>
    <numFmt numFmtId="165" formatCode="0.0000%"/>
    <numFmt numFmtId="166" formatCode="0.0000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2" fillId="0" borderId="0" xfId="0" applyFont="1"/>
    <xf numFmtId="0" fontId="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3" borderId="0" xfId="0" applyFill="1"/>
    <xf numFmtId="8" fontId="0" fillId="3" borderId="0" xfId="0" applyNumberFormat="1" applyFill="1" applyAlignment="1">
      <alignment horizontal="center" vertical="center" wrapText="1"/>
    </xf>
    <xf numFmtId="10" fontId="2" fillId="3" borderId="0" xfId="0" applyNumberFormat="1" applyFont="1" applyFill="1" applyAlignment="1">
      <alignment horizontal="center" vertical="center" wrapText="1"/>
    </xf>
    <xf numFmtId="2" fontId="0" fillId="3" borderId="0" xfId="0" applyNumberFormat="1" applyFill="1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164" fontId="0" fillId="0" borderId="0" xfId="1" applyNumberFormat="1" applyFont="1" applyAlignment="1">
      <alignment horizontal="center"/>
    </xf>
    <xf numFmtId="10" fontId="0" fillId="3" borderId="0" xfId="0" applyNumberFormat="1" applyFill="1" applyAlignment="1">
      <alignment horizontal="center"/>
    </xf>
    <xf numFmtId="0" fontId="2" fillId="3" borderId="0" xfId="0" applyFont="1" applyFill="1"/>
    <xf numFmtId="0" fontId="0" fillId="3" borderId="0" xfId="0" applyFill="1" applyAlignment="1">
      <alignment horizontal="center"/>
    </xf>
    <xf numFmtId="164" fontId="0" fillId="0" borderId="0" xfId="1" applyNumberFormat="1" applyFont="1"/>
    <xf numFmtId="10" fontId="0" fillId="3" borderId="0" xfId="1" applyNumberFormat="1" applyFont="1" applyFill="1" applyAlignment="1">
      <alignment horizontal="center"/>
    </xf>
    <xf numFmtId="0" fontId="0" fillId="3" borderId="0" xfId="0" applyNumberFormat="1" applyFill="1" applyAlignment="1">
      <alignment horizontal="center" vertical="center" wrapText="1"/>
    </xf>
    <xf numFmtId="166" fontId="0" fillId="0" borderId="0" xfId="1" applyNumberFormat="1" applyFont="1"/>
    <xf numFmtId="165" fontId="0" fillId="3" borderId="0" xfId="1" applyNumberFormat="1" applyFont="1" applyFill="1" applyAlignment="1">
      <alignment horizontal="center"/>
    </xf>
    <xf numFmtId="0" fontId="0" fillId="3" borderId="2" xfId="0" applyFill="1" applyBorder="1"/>
    <xf numFmtId="165" fontId="0" fillId="3" borderId="2" xfId="1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center"/>
    </xf>
    <xf numFmtId="2" fontId="0" fillId="3" borderId="0" xfId="0" applyNumberFormat="1" applyFont="1" applyFill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12700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wsListe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0</xdr:row>
          <xdr:rowOff>25400</xdr:rowOff>
        </xdr:from>
        <xdr:to>
          <xdr:col>6</xdr:col>
          <xdr:colOff>609600</xdr:colOff>
          <xdr:row>2</xdr:row>
          <xdr:rowOff>25400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LANCE 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0</xdr:row>
          <xdr:rowOff>12700</xdr:rowOff>
        </xdr:from>
        <xdr:to>
          <xdr:col>5</xdr:col>
          <xdr:colOff>12700</xdr:colOff>
          <xdr:row>1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wsRendements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749300</xdr:colOff>
          <xdr:row>0</xdr:row>
          <xdr:rowOff>177800</xdr:rowOff>
        </xdr:from>
        <xdr:to>
          <xdr:col>7</xdr:col>
          <xdr:colOff>698500</xdr:colOff>
          <xdr:row>2</xdr:row>
          <xdr:rowOff>101600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wsData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127000</xdr:rowOff>
        </xdr:from>
        <xdr:to>
          <xdr:col>7</xdr:col>
          <xdr:colOff>711200</xdr:colOff>
          <xdr:row>4</xdr:row>
          <xdr:rowOff>50800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wsRendements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25400</xdr:rowOff>
        </xdr:from>
        <xdr:to>
          <xdr:col>7</xdr:col>
          <xdr:colOff>673100</xdr:colOff>
          <xdr:row>7</xdr:row>
          <xdr:rowOff>88900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LANCE 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177800</xdr:rowOff>
        </xdr:from>
        <xdr:to>
          <xdr:col>7</xdr:col>
          <xdr:colOff>673100</xdr:colOff>
          <xdr:row>10</xdr:row>
          <xdr:rowOff>88900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LANCE 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(choix n)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1</xdr:row>
          <xdr:rowOff>12700</xdr:rowOff>
        </xdr:from>
        <xdr:to>
          <xdr:col>6</xdr:col>
          <xdr:colOff>457200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wsListe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12700</xdr:rowOff>
        </xdr:from>
        <xdr:to>
          <xdr:col>8</xdr:col>
          <xdr:colOff>711200</xdr:colOff>
          <xdr:row>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wsData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25400</xdr:rowOff>
        </xdr:from>
        <xdr:to>
          <xdr:col>6</xdr:col>
          <xdr:colOff>444500</xdr:colOff>
          <xdr:row>5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LANCE 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5</xdr:row>
          <xdr:rowOff>177800</xdr:rowOff>
        </xdr:from>
        <xdr:to>
          <xdr:col>6</xdr:col>
          <xdr:colOff>444500</xdr:colOff>
          <xdr:row>8</xdr:row>
          <xdr:rowOff>88900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LANCE 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(choix n)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4" Type="http://schemas.openxmlformats.org/officeDocument/2006/relationships/ctrlProp" Target="../ctrlProps/ctrlProp5.xml"/><Relationship Id="rId5" Type="http://schemas.openxmlformats.org/officeDocument/2006/relationships/ctrlProp" Target="../ctrlProps/ctrlProp6.xml"/><Relationship Id="rId6" Type="http://schemas.openxmlformats.org/officeDocument/2006/relationships/ctrlProp" Target="../ctrlProps/ctrlProp7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4" Type="http://schemas.openxmlformats.org/officeDocument/2006/relationships/ctrlProp" Target="../ctrlProps/ctrlProp9.xml"/><Relationship Id="rId5" Type="http://schemas.openxmlformats.org/officeDocument/2006/relationships/ctrlProp" Target="../ctrlProps/ctrlProp10.xml"/><Relationship Id="rId6" Type="http://schemas.openxmlformats.org/officeDocument/2006/relationships/ctrlProp" Target="../ctrlProps/ctrlProp11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J124"/>
  <sheetViews>
    <sheetView workbookViewId="0">
      <selection activeCell="C10" sqref="C10"/>
    </sheetView>
  </sheetViews>
  <sheetFormatPr baseColWidth="10" defaultRowHeight="14" x14ac:dyDescent="0"/>
  <cols>
    <col min="1" max="1" width="32.5" customWidth="1"/>
    <col min="2" max="2" width="10.5" bestFit="1" customWidth="1"/>
    <col min="3" max="3" width="14.83203125" bestFit="1" customWidth="1"/>
    <col min="4" max="4" width="20.5" style="3" customWidth="1"/>
    <col min="5" max="5" width="22" style="3" customWidth="1"/>
    <col min="6" max="6" width="20.6640625" customWidth="1"/>
    <col min="7" max="7" width="12.83203125" customWidth="1"/>
    <col min="8" max="8" width="15" customWidth="1"/>
  </cols>
  <sheetData>
    <row r="1" spans="1:10" ht="23">
      <c r="A1" s="2" t="s">
        <v>122</v>
      </c>
      <c r="E1" s="12"/>
      <c r="I1" s="10"/>
    </row>
    <row r="2" spans="1:10" ht="23">
      <c r="A2" s="2" t="s">
        <v>123</v>
      </c>
    </row>
    <row r="4" spans="1:10" ht="28">
      <c r="A4" s="4" t="s">
        <v>121</v>
      </c>
      <c r="B4" s="5" t="s">
        <v>126</v>
      </c>
      <c r="C4" s="5" t="s">
        <v>127</v>
      </c>
      <c r="D4" s="5" t="s">
        <v>135</v>
      </c>
      <c r="E4" s="5" t="s">
        <v>133</v>
      </c>
      <c r="F4" s="5" t="s">
        <v>134</v>
      </c>
      <c r="G4" s="5" t="s">
        <v>124</v>
      </c>
      <c r="H4" s="5" t="s">
        <v>125</v>
      </c>
      <c r="I4" s="11"/>
    </row>
    <row r="5" spans="1:10">
      <c r="A5" s="6" t="s">
        <v>8</v>
      </c>
      <c r="B5" s="9">
        <v>47.692154321603027</v>
      </c>
      <c r="C5" s="18">
        <v>47.84</v>
      </c>
      <c r="D5" s="8">
        <f>(C5-B5)/B5</f>
        <v>3.1000000000001421E-3</v>
      </c>
      <c r="E5" s="25">
        <v>113.41840295085234</v>
      </c>
      <c r="F5" s="9">
        <f>(1+D5)*E5</f>
        <v>113.77</v>
      </c>
      <c r="G5" s="13">
        <f>E5/SUM($E$5:$E$124)</f>
        <v>7.3011164053462779E-2</v>
      </c>
      <c r="H5" s="17">
        <f>D5*G5</f>
        <v>2.2633460856574499E-4</v>
      </c>
      <c r="J5" s="10"/>
    </row>
    <row r="6" spans="1:10">
      <c r="A6" s="6" t="s">
        <v>25</v>
      </c>
      <c r="B6" s="9">
        <v>76.201395812562325</v>
      </c>
      <c r="C6" s="7">
        <v>76.430000000000007</v>
      </c>
      <c r="D6" s="8">
        <f>(C6-B6)/B6</f>
        <v>2.9999999999999354E-3</v>
      </c>
      <c r="E6" s="25">
        <v>101.11665004985046</v>
      </c>
      <c r="F6" s="9">
        <f>(1+D6)*E6</f>
        <v>101.42</v>
      </c>
      <c r="G6" s="13">
        <f>E6/SUM($E$5:$E$124)</f>
        <v>6.5092120266632067E-2</v>
      </c>
      <c r="H6" s="17">
        <f>D6*G6</f>
        <v>1.95276360799892E-4</v>
      </c>
      <c r="J6" s="10"/>
    </row>
    <row r="7" spans="1:10">
      <c r="A7" s="6" t="s">
        <v>0</v>
      </c>
      <c r="B7" s="9">
        <v>134.80392156862746</v>
      </c>
      <c r="C7" s="7">
        <v>134.75</v>
      </c>
      <c r="D7" s="8">
        <f>(C7-B7)/B7</f>
        <v>-4.0000000000005786E-4</v>
      </c>
      <c r="E7" s="25">
        <v>75.300120048019195</v>
      </c>
      <c r="F7" s="9">
        <f>(1+D7)*E7</f>
        <v>75.269999999999982</v>
      </c>
      <c r="G7" s="13">
        <f>E7/SUM($E$5:$E$124)</f>
        <v>4.8473169036366288E-2</v>
      </c>
      <c r="H7" s="17">
        <f>D7*G7</f>
        <v>-1.9389267614549319E-5</v>
      </c>
      <c r="J7" s="10"/>
    </row>
    <row r="8" spans="1:10">
      <c r="A8" s="6" t="s">
        <v>26</v>
      </c>
      <c r="B8" s="9">
        <v>143.79841062267377</v>
      </c>
      <c r="C8" s="7">
        <v>142.94999999999999</v>
      </c>
      <c r="D8" s="8">
        <f>(C8-B8)/B8</f>
        <v>-5.9000000000000484E-3</v>
      </c>
      <c r="E8" s="25">
        <v>73.00070415451161</v>
      </c>
      <c r="F8" s="9">
        <f>(1+D8)*E8</f>
        <v>72.569999999999993</v>
      </c>
      <c r="G8" s="13">
        <f>E8/SUM($E$5:$E$124)</f>
        <v>4.6992959240952661E-2</v>
      </c>
      <c r="H8" s="17">
        <f>D8*G8</f>
        <v>-2.7725845952162296E-4</v>
      </c>
      <c r="J8" s="10"/>
    </row>
    <row r="9" spans="1:10">
      <c r="A9" s="6" t="s">
        <v>27</v>
      </c>
      <c r="B9" s="9">
        <v>51.119628807746622</v>
      </c>
      <c r="C9" s="7">
        <v>50.68</v>
      </c>
      <c r="D9" s="8">
        <f>(C9-B9)/B9</f>
        <v>-8.6000000000000278E-3</v>
      </c>
      <c r="E9" s="25">
        <v>63.707887835384305</v>
      </c>
      <c r="F9" s="9">
        <f>(1+D9)*E9</f>
        <v>63.16</v>
      </c>
      <c r="G9" s="13">
        <f>E9/SUM($E$5:$E$124)</f>
        <v>4.1010867101209644E-2</v>
      </c>
      <c r="H9" s="17">
        <f>D9*G9</f>
        <v>-3.526934570704041E-4</v>
      </c>
      <c r="J9" s="10"/>
    </row>
    <row r="10" spans="1:10">
      <c r="A10" s="6" t="s">
        <v>28</v>
      </c>
      <c r="B10" s="9">
        <v>19.290245836637592</v>
      </c>
      <c r="C10" s="7">
        <v>19.46</v>
      </c>
      <c r="D10" s="8">
        <f>(C10-B10)/B10</f>
        <v>8.7999999999999121E-3</v>
      </c>
      <c r="E10" s="25">
        <v>46.530531324345759</v>
      </c>
      <c r="F10" s="9">
        <f>(1+D10)*E10</f>
        <v>46.94</v>
      </c>
      <c r="G10" s="13">
        <f>E10/SUM($E$5:$E$124)</f>
        <v>2.9953236579153105E-2</v>
      </c>
      <c r="H10" s="17">
        <f>D10*G10</f>
        <v>2.6358848189654468E-4</v>
      </c>
      <c r="J10" s="10"/>
    </row>
    <row r="11" spans="1:10">
      <c r="A11" s="6" t="s">
        <v>29</v>
      </c>
      <c r="B11" s="9">
        <v>19.124102154828414</v>
      </c>
      <c r="C11" s="7">
        <v>19.170000000000002</v>
      </c>
      <c r="D11" s="8">
        <f>(C11-B11)/B11</f>
        <v>2.399999999999985E-3</v>
      </c>
      <c r="E11" s="25">
        <v>46.318834796488431</v>
      </c>
      <c r="F11" s="9">
        <f>(1+D11)*E11</f>
        <v>46.43</v>
      </c>
      <c r="G11" s="13">
        <f>E11/SUM($E$5:$E$124)</f>
        <v>2.9816960547020672E-2</v>
      </c>
      <c r="H11" s="17">
        <f>D11*G11</f>
        <v>7.1560705312849167E-5</v>
      </c>
      <c r="J11" s="10"/>
    </row>
    <row r="12" spans="1:10">
      <c r="A12" s="6" t="s">
        <v>30</v>
      </c>
      <c r="B12" s="9">
        <v>23.474131961618362</v>
      </c>
      <c r="C12" s="7">
        <v>23.73</v>
      </c>
      <c r="D12" s="8">
        <f>(C12-B12)/B12</f>
        <v>1.0899999999999941E-2</v>
      </c>
      <c r="E12" s="25">
        <v>43.664061727173809</v>
      </c>
      <c r="F12" s="9">
        <f>(1+D12)*E12</f>
        <v>44.14</v>
      </c>
      <c r="G12" s="13">
        <f>E12/SUM($E$5:$E$124)</f>
        <v>2.8107995625583394E-2</v>
      </c>
      <c r="H12" s="17">
        <f>D12*G12</f>
        <v>3.0637715231885733E-4</v>
      </c>
      <c r="J12" s="10"/>
    </row>
    <row r="13" spans="1:10">
      <c r="A13" s="6" t="s">
        <v>31</v>
      </c>
      <c r="B13" s="9">
        <v>49.578397912065853</v>
      </c>
      <c r="C13" s="7">
        <v>49.39</v>
      </c>
      <c r="D13" s="8">
        <f>(C13-B13)/B13</f>
        <v>-3.8000000000000421E-3</v>
      </c>
      <c r="E13" s="25">
        <v>38.897811684400722</v>
      </c>
      <c r="F13" s="9">
        <f>(1+D13)*E13</f>
        <v>38.75</v>
      </c>
      <c r="G13" s="13">
        <f>E13/SUM($E$5:$E$124)</f>
        <v>2.5039803385709197E-2</v>
      </c>
      <c r="H13" s="17">
        <f>D13*G13</f>
        <v>-9.5151252865696004E-5</v>
      </c>
      <c r="J13" s="10"/>
    </row>
    <row r="14" spans="1:10">
      <c r="A14" s="6" t="s">
        <v>13</v>
      </c>
      <c r="B14" s="9">
        <v>66.00120385232745</v>
      </c>
      <c r="C14" s="7">
        <v>65.790000000000006</v>
      </c>
      <c r="D14" s="8">
        <f>(C14-B14)/B14</f>
        <v>-3.1999999999999351E-3</v>
      </c>
      <c r="E14" s="25">
        <v>38.513242375601926</v>
      </c>
      <c r="F14" s="9">
        <f>(1+D14)*E14</f>
        <v>38.39</v>
      </c>
      <c r="G14" s="13">
        <f>E14/SUM($E$5:$E$124)</f>
        <v>2.4792243446897479E-2</v>
      </c>
      <c r="H14" s="17">
        <f>D14*G14</f>
        <v>-7.9335179030070322E-5</v>
      </c>
      <c r="J14" s="10"/>
    </row>
    <row r="15" spans="1:10">
      <c r="A15" s="6" t="s">
        <v>32</v>
      </c>
      <c r="B15" s="9">
        <v>13.830542871638762</v>
      </c>
      <c r="C15" s="7">
        <v>13.63</v>
      </c>
      <c r="D15" s="8">
        <f>(C15-B15)/B15</f>
        <v>-1.4499999999999968E-2</v>
      </c>
      <c r="E15" s="25">
        <v>36.631151699644853</v>
      </c>
      <c r="F15" s="9">
        <f>(1+D15)*E15</f>
        <v>36.1</v>
      </c>
      <c r="G15" s="13">
        <f>E15/SUM($E$5:$E$124)</f>
        <v>2.358067964833703E-2</v>
      </c>
      <c r="H15" s="17">
        <f>D15*G15</f>
        <v>-3.4191985490088618E-4</v>
      </c>
      <c r="J15" s="10"/>
    </row>
    <row r="16" spans="1:10">
      <c r="A16" s="6" t="s">
        <v>18</v>
      </c>
      <c r="B16" s="9">
        <v>56.132027859089533</v>
      </c>
      <c r="C16" s="7">
        <v>55.61</v>
      </c>
      <c r="D16" s="8">
        <f>(C16-B16)/B16</f>
        <v>-9.3000000000000114E-3</v>
      </c>
      <c r="E16" s="25">
        <v>36.136065408297156</v>
      </c>
      <c r="F16" s="9">
        <f>(1+D16)*E16</f>
        <v>35.799999999999997</v>
      </c>
      <c r="G16" s="13">
        <f>E16/SUM($E$5:$E$124)</f>
        <v>2.3261976285410373E-2</v>
      </c>
      <c r="H16" s="17">
        <f>D16*G16</f>
        <v>-2.1633637945431673E-4</v>
      </c>
      <c r="J16" s="10"/>
    </row>
    <row r="17" spans="1:10">
      <c r="A17" s="6" t="s">
        <v>4</v>
      </c>
      <c r="B17" s="9">
        <v>100.45045045045045</v>
      </c>
      <c r="C17" s="7">
        <v>100.35</v>
      </c>
      <c r="D17" s="8">
        <f>(C17-B17)/B17</f>
        <v>-1.0000000000000198E-3</v>
      </c>
      <c r="E17" s="25">
        <v>34.62462462462463</v>
      </c>
      <c r="F17" s="9">
        <f>(1+D17)*E17</f>
        <v>34.590000000000003</v>
      </c>
      <c r="G17" s="13">
        <f>E17/SUM($E$5:$E$124)</f>
        <v>2.2289012038491571E-2</v>
      </c>
      <c r="H17" s="17">
        <f>D17*G17</f>
        <v>-2.2289012038492012E-5</v>
      </c>
      <c r="J17" s="10"/>
    </row>
    <row r="18" spans="1:10">
      <c r="A18" s="6" t="s">
        <v>33</v>
      </c>
      <c r="B18" s="9">
        <v>39.499598070739552</v>
      </c>
      <c r="C18" s="7">
        <v>39.31</v>
      </c>
      <c r="D18" s="8">
        <f>(C18-B18)/B18</f>
        <v>-4.7999999999999909E-3</v>
      </c>
      <c r="E18" s="25">
        <v>31.802652733118972</v>
      </c>
      <c r="F18" s="9">
        <f>(1+D18)*E18</f>
        <v>31.65</v>
      </c>
      <c r="G18" s="13">
        <f>E18/SUM($E$5:$E$124)</f>
        <v>2.0472415724626512E-2</v>
      </c>
      <c r="H18" s="17">
        <f>D18*G18</f>
        <v>-9.8267595478207067E-5</v>
      </c>
      <c r="J18" s="10"/>
    </row>
    <row r="19" spans="1:10">
      <c r="A19" s="6" t="s">
        <v>34</v>
      </c>
      <c r="B19" s="9">
        <v>11.124570967090651</v>
      </c>
      <c r="C19" s="7">
        <v>11.02</v>
      </c>
      <c r="D19" s="8">
        <f>(C19-B19)/B19</f>
        <v>-9.3999999999999743E-3</v>
      </c>
      <c r="E19" s="25">
        <v>28.659398344437715</v>
      </c>
      <c r="F19" s="9">
        <f>(1+D19)*E19</f>
        <v>28.39</v>
      </c>
      <c r="G19" s="13">
        <f>E19/SUM($E$5:$E$124)</f>
        <v>1.8448999278415219E-2</v>
      </c>
      <c r="H19" s="17">
        <f>D19*G19</f>
        <v>-1.7342059321710259E-4</v>
      </c>
      <c r="J19" s="10"/>
    </row>
    <row r="20" spans="1:10">
      <c r="A20" s="6" t="s">
        <v>15</v>
      </c>
      <c r="B20" s="9">
        <v>262.30408305880002</v>
      </c>
      <c r="C20" s="7">
        <v>262.75</v>
      </c>
      <c r="D20" s="8">
        <f>(C20-B20)/B20</f>
        <v>1.7000000000000851E-3</v>
      </c>
      <c r="E20" s="25">
        <v>27.692922032544672</v>
      </c>
      <c r="F20" s="9">
        <f>(1+D20)*E20</f>
        <v>27.74</v>
      </c>
      <c r="G20" s="13">
        <f>E20/SUM($E$5:$E$124)</f>
        <v>1.7826846623065402E-2</v>
      </c>
      <c r="H20" s="17">
        <f>D20*G20</f>
        <v>3.0305639259212702E-5</v>
      </c>
      <c r="J20" s="10"/>
    </row>
    <row r="21" spans="1:10">
      <c r="A21" s="6" t="s">
        <v>5</v>
      </c>
      <c r="B21" s="9">
        <v>20.115745360207544</v>
      </c>
      <c r="C21" s="7">
        <v>20.16</v>
      </c>
      <c r="D21" s="8">
        <f>(C21-B21)/B21</f>
        <v>2.1999999999999663E-3</v>
      </c>
      <c r="E21" s="25">
        <v>27.120335262422671</v>
      </c>
      <c r="F21" s="9">
        <f>(1+D21)*E21</f>
        <v>27.18</v>
      </c>
      <c r="G21" s="13">
        <f>E21/SUM($E$5:$E$124)</f>
        <v>1.7458253647670258E-2</v>
      </c>
      <c r="H21" s="17">
        <f>D21*G21</f>
        <v>3.8408158024873977E-5</v>
      </c>
      <c r="J21" s="10"/>
    </row>
    <row r="22" spans="1:10">
      <c r="A22" s="6" t="s">
        <v>35</v>
      </c>
      <c r="B22" s="9">
        <v>43.696634856855852</v>
      </c>
      <c r="C22" s="7">
        <v>43.5</v>
      </c>
      <c r="D22" s="8">
        <f>(C22-B22)/B22</f>
        <v>-4.5000000000000057E-3</v>
      </c>
      <c r="E22" s="25">
        <v>25.786037167252637</v>
      </c>
      <c r="F22" s="9">
        <f>(1+D22)*E22</f>
        <v>25.669999999999998</v>
      </c>
      <c r="G22" s="13">
        <f>E22/SUM($E$5:$E$124)</f>
        <v>1.6599321987656523E-2</v>
      </c>
      <c r="H22" s="17">
        <f>D22*G22</f>
        <v>-7.4696948944454446E-5</v>
      </c>
      <c r="J22" s="10"/>
    </row>
    <row r="23" spans="1:10">
      <c r="A23" s="6" t="s">
        <v>36</v>
      </c>
      <c r="B23" s="9">
        <v>93.386773547094194</v>
      </c>
      <c r="C23" s="7">
        <v>93.2</v>
      </c>
      <c r="D23" s="8">
        <f>(C23-B23)/B23</f>
        <v>-2.0000000000000269E-3</v>
      </c>
      <c r="E23" s="25">
        <v>24.789579158316631</v>
      </c>
      <c r="F23" s="9">
        <f>(1+D23)*E23</f>
        <v>24.74</v>
      </c>
      <c r="G23" s="13">
        <f>E23/SUM($E$5:$E$124)</f>
        <v>1.5957869125775376E-2</v>
      </c>
      <c r="H23" s="17">
        <f>D23*G23</f>
        <v>-3.1915738251551181E-5</v>
      </c>
      <c r="J23" s="10"/>
    </row>
    <row r="24" spans="1:10">
      <c r="A24" s="6" t="s">
        <v>10</v>
      </c>
      <c r="B24" s="9">
        <v>52.559174590329761</v>
      </c>
      <c r="C24" s="7">
        <v>51.96</v>
      </c>
      <c r="D24" s="8">
        <f>(C24-B24)/B24</f>
        <v>-1.1400000000000011E-2</v>
      </c>
      <c r="E24" s="25">
        <v>21.919886708476636</v>
      </c>
      <c r="F24" s="9">
        <f>(1+D24)*E24</f>
        <v>21.67</v>
      </c>
      <c r="G24" s="13">
        <f>E24/SUM($E$5:$E$124)</f>
        <v>1.4110553515723604E-2</v>
      </c>
      <c r="H24" s="17">
        <f>D24*G24</f>
        <v>-1.6086031007924925E-4</v>
      </c>
      <c r="J24" s="10"/>
    </row>
    <row r="25" spans="1:10">
      <c r="A25" s="6" t="s">
        <v>37</v>
      </c>
      <c r="B25" s="9">
        <v>36.999086943289029</v>
      </c>
      <c r="C25" s="7">
        <v>36.47</v>
      </c>
      <c r="D25" s="8">
        <f>(C25-B25)/B25</f>
        <v>-1.4299999999999926E-2</v>
      </c>
      <c r="E25" s="25">
        <v>21.010449426803287</v>
      </c>
      <c r="F25" s="9">
        <f>(1+D25)*E25</f>
        <v>20.71</v>
      </c>
      <c r="G25" s="13">
        <f>E25/SUM($E$5:$E$124)</f>
        <v>1.3525118764033785E-2</v>
      </c>
      <c r="H25" s="17">
        <f>D25*G25</f>
        <v>-1.9340919832568212E-4</v>
      </c>
      <c r="J25" s="10"/>
    </row>
    <row r="26" spans="1:10">
      <c r="A26" s="6" t="s">
        <v>38</v>
      </c>
      <c r="B26" s="9">
        <v>162.79649192744665</v>
      </c>
      <c r="C26" s="7">
        <v>163.35</v>
      </c>
      <c r="D26" s="8">
        <f>(C26-B26)/B26</f>
        <v>3.4000000000001429E-3</v>
      </c>
      <c r="E26" s="25">
        <v>20.550129559497709</v>
      </c>
      <c r="F26" s="9">
        <f>(1+D26)*E26</f>
        <v>20.62</v>
      </c>
      <c r="G26" s="13">
        <f>E26/SUM($E$5:$E$124)</f>
        <v>1.3228795694104125E-2</v>
      </c>
      <c r="H26" s="17">
        <f>D26*G26</f>
        <v>4.4977905359955916E-5</v>
      </c>
      <c r="J26" s="10"/>
    </row>
    <row r="27" spans="1:10">
      <c r="A27" s="6" t="s">
        <v>39</v>
      </c>
      <c r="B27" s="9">
        <v>207.34156874560608</v>
      </c>
      <c r="C27" s="7">
        <v>206.45</v>
      </c>
      <c r="D27" s="8">
        <f>(C27-B27)/B27</f>
        <v>-4.2999999999999402E-3</v>
      </c>
      <c r="E27" s="25">
        <v>20.327407853771213</v>
      </c>
      <c r="F27" s="9">
        <f>(1+D27)*E27</f>
        <v>20.239999999999998</v>
      </c>
      <c r="G27" s="13">
        <f>E27/SUM($E$5:$E$124)</f>
        <v>1.308542239160655E-2</v>
      </c>
      <c r="H27" s="17">
        <f>D27*G27</f>
        <v>-5.6267316283907385E-5</v>
      </c>
      <c r="J27" s="10"/>
    </row>
    <row r="28" spans="1:10">
      <c r="A28" s="6" t="s">
        <v>41</v>
      </c>
      <c r="B28" s="9">
        <v>88.800813008130078</v>
      </c>
      <c r="C28" s="7">
        <v>87.38</v>
      </c>
      <c r="D28" s="8">
        <f>(C28-B28)/B28</f>
        <v>-1.6000000000000011E-2</v>
      </c>
      <c r="E28" s="25">
        <v>19.105691056910569</v>
      </c>
      <c r="F28" s="9">
        <f>(1+D28)*E28</f>
        <v>18.8</v>
      </c>
      <c r="G28" s="13">
        <f>E28/SUM($E$5:$E$124)</f>
        <v>1.2298963023799051E-2</v>
      </c>
      <c r="H28" s="17">
        <f>D28*G28</f>
        <v>-1.9678340838078493E-4</v>
      </c>
      <c r="J28" s="10"/>
    </row>
    <row r="29" spans="1:10">
      <c r="A29" s="6" t="s">
        <v>40</v>
      </c>
      <c r="B29" s="9">
        <v>64.019627478469857</v>
      </c>
      <c r="C29" s="7">
        <v>63.93</v>
      </c>
      <c r="D29" s="8">
        <f>(C29-B29)/B29</f>
        <v>-1.3999999999999974E-3</v>
      </c>
      <c r="E29" s="25">
        <v>18.936511115561785</v>
      </c>
      <c r="F29" s="9">
        <f>(1+D29)*E29</f>
        <v>18.91</v>
      </c>
      <c r="G29" s="13">
        <f>E29/SUM($E$5:$E$124)</f>
        <v>1.2190056319675173E-2</v>
      </c>
      <c r="H29" s="17">
        <f>D29*G29</f>
        <v>-1.7066078847545211E-5</v>
      </c>
      <c r="J29" s="10"/>
    </row>
    <row r="30" spans="1:10">
      <c r="A30" s="6" t="s">
        <v>42</v>
      </c>
      <c r="B30" s="9">
        <v>25.526157546602523</v>
      </c>
      <c r="C30" s="7">
        <v>25.47</v>
      </c>
      <c r="D30" s="8">
        <f>(C30-B30)/B30</f>
        <v>-2.1999999999999364E-3</v>
      </c>
      <c r="E30" s="25">
        <v>18.761274804570053</v>
      </c>
      <c r="F30" s="9">
        <f>(1+D30)*E30</f>
        <v>18.72</v>
      </c>
      <c r="G30" s="13">
        <f>E30/SUM($E$5:$E$124)</f>
        <v>1.2077250930804683E-2</v>
      </c>
      <c r="H30" s="17">
        <f>D30*G30</f>
        <v>-2.6569952047769534E-5</v>
      </c>
      <c r="J30" s="10"/>
    </row>
    <row r="31" spans="1:10">
      <c r="A31" s="6" t="s">
        <v>43</v>
      </c>
      <c r="B31" s="9">
        <v>5.514816675037669</v>
      </c>
      <c r="C31" s="7">
        <v>5.49</v>
      </c>
      <c r="D31" s="8">
        <f>(C31-B31)/B31</f>
        <v>-4.4999999999998756E-3</v>
      </c>
      <c r="E31" s="25">
        <v>17.197388247112006</v>
      </c>
      <c r="F31" s="9">
        <f>(1+D31)*E31</f>
        <v>17.120000000000005</v>
      </c>
      <c r="G31" s="13">
        <f>E31/SUM($E$5:$E$124)</f>
        <v>1.107052561077833E-2</v>
      </c>
      <c r="H31" s="17">
        <f>D31*G31</f>
        <v>-4.9817365248501109E-5</v>
      </c>
      <c r="J31" s="10"/>
    </row>
    <row r="32" spans="1:10">
      <c r="A32" s="6" t="s">
        <v>45</v>
      </c>
      <c r="B32" s="9">
        <v>58.489795918367349</v>
      </c>
      <c r="C32" s="7">
        <v>57.32</v>
      </c>
      <c r="D32" s="8">
        <f>(C32-B32)/B32</f>
        <v>-2.0000000000000035E-2</v>
      </c>
      <c r="E32" s="25">
        <v>16.80612244897959</v>
      </c>
      <c r="F32" s="9">
        <f>(1+D32)*E32</f>
        <v>16.47</v>
      </c>
      <c r="G32" s="13">
        <f>E32/SUM($E$5:$E$124)</f>
        <v>1.0818654921077878E-2</v>
      </c>
      <c r="H32" s="17">
        <f>D32*G32</f>
        <v>-2.1637309842155794E-4</v>
      </c>
      <c r="J32" s="10"/>
    </row>
    <row r="33" spans="1:10">
      <c r="A33" s="6" t="s">
        <v>44</v>
      </c>
      <c r="B33" s="9">
        <v>9.9761999206664029</v>
      </c>
      <c r="C33" s="7">
        <v>10.06</v>
      </c>
      <c r="D33" s="8">
        <f>(C33-B33)/B33</f>
        <v>8.3999999999999787E-3</v>
      </c>
      <c r="E33" s="25">
        <v>16.610472034906785</v>
      </c>
      <c r="F33" s="9">
        <f>(1+D33)*E33</f>
        <v>16.75</v>
      </c>
      <c r="G33" s="13">
        <f>E33/SUM($E$5:$E$124)</f>
        <v>1.0692708301240642E-2</v>
      </c>
      <c r="H33" s="17">
        <f>D33*G33</f>
        <v>8.9818749730421164E-5</v>
      </c>
      <c r="J33" s="10"/>
    </row>
    <row r="34" spans="1:10">
      <c r="A34" s="6" t="s">
        <v>46</v>
      </c>
      <c r="B34" s="9">
        <v>74.697590722783161</v>
      </c>
      <c r="C34" s="7">
        <v>74.72</v>
      </c>
      <c r="D34" s="8">
        <f>(C34-B34)/B34</f>
        <v>3.0000000000003559E-4</v>
      </c>
      <c r="E34" s="25">
        <v>13.855843247025891</v>
      </c>
      <c r="F34" s="9">
        <f>(1+D34)*E34</f>
        <v>13.86</v>
      </c>
      <c r="G34" s="13">
        <f>E34/SUM($E$5:$E$124)</f>
        <v>8.9194629626908294E-3</v>
      </c>
      <c r="H34" s="17">
        <f>D34*G34</f>
        <v>2.6758388888075662E-6</v>
      </c>
      <c r="J34" s="10"/>
    </row>
    <row r="35" spans="1:10">
      <c r="A35" s="6" t="s">
        <v>47</v>
      </c>
      <c r="B35" s="9">
        <v>52.231652521218173</v>
      </c>
      <c r="C35" s="7">
        <v>52.31</v>
      </c>
      <c r="D35" s="8">
        <f>(C35-B35)/B35</f>
        <v>1.500000000000038E-3</v>
      </c>
      <c r="E35" s="25">
        <v>13.359960059910135</v>
      </c>
      <c r="F35" s="9">
        <f>(1+D35)*E35</f>
        <v>13.38</v>
      </c>
      <c r="G35" s="13">
        <f>E35/SUM($E$5:$E$124)</f>
        <v>8.6002466116939704E-3</v>
      </c>
      <c r="H35" s="17">
        <f>D35*G35</f>
        <v>1.2900369917541282E-5</v>
      </c>
      <c r="J35" s="10"/>
    </row>
    <row r="36" spans="1:10">
      <c r="A36" s="6" t="s">
        <v>48</v>
      </c>
      <c r="B36" s="9">
        <v>33.115856069592724</v>
      </c>
      <c r="C36" s="7">
        <v>33.5</v>
      </c>
      <c r="D36" s="8">
        <f>(C36-B36)/B36</f>
        <v>1.1600000000000027E-2</v>
      </c>
      <c r="E36" s="25">
        <v>12.900355871886122</v>
      </c>
      <c r="F36" s="9">
        <f>(1+D36)*E36</f>
        <v>13.05</v>
      </c>
      <c r="G36" s="13">
        <f>E36/SUM($E$5:$E$124)</f>
        <v>8.3043842481054023E-3</v>
      </c>
      <c r="H36" s="17">
        <f>D36*G36</f>
        <v>9.6330857278022897E-5</v>
      </c>
      <c r="J36" s="10"/>
    </row>
    <row r="37" spans="1:10">
      <c r="A37" s="6" t="s">
        <v>49</v>
      </c>
      <c r="B37" s="9">
        <v>58.350972684205225</v>
      </c>
      <c r="C37" s="7">
        <v>57.89</v>
      </c>
      <c r="D37" s="8">
        <f>(C37-B37)/B37</f>
        <v>-7.9000000000000459E-3</v>
      </c>
      <c r="E37" s="25">
        <v>12.891845580082652</v>
      </c>
      <c r="F37" s="9">
        <f>(1+D37)*E37</f>
        <v>12.79</v>
      </c>
      <c r="G37" s="13">
        <f>E37/SUM($E$5:$E$124)</f>
        <v>8.2989058927870393E-3</v>
      </c>
      <c r="H37" s="17">
        <f>D37*G37</f>
        <v>-6.5561356553017991E-5</v>
      </c>
      <c r="J37" s="10"/>
    </row>
    <row r="38" spans="1:10">
      <c r="A38" s="6" t="s">
        <v>3</v>
      </c>
      <c r="B38" s="9">
        <v>79.873835986782808</v>
      </c>
      <c r="C38" s="7">
        <v>79.77</v>
      </c>
      <c r="D38" s="8">
        <f>(C38-B38)/B38</f>
        <v>-1.2999999999999297E-3</v>
      </c>
      <c r="E38" s="25">
        <v>12.546310203264243</v>
      </c>
      <c r="F38" s="9">
        <f>(1+D38)*E38</f>
        <v>12.53</v>
      </c>
      <c r="G38" s="13">
        <f>E38/SUM($E$5:$E$124)</f>
        <v>8.0764733824818472E-3</v>
      </c>
      <c r="H38" s="17">
        <f>D38*G38</f>
        <v>-1.0499415397225834E-5</v>
      </c>
      <c r="J38" s="10"/>
    </row>
    <row r="39" spans="1:10">
      <c r="A39" s="6" t="s">
        <v>50</v>
      </c>
      <c r="B39" s="9">
        <v>195.99120263920827</v>
      </c>
      <c r="C39" s="7">
        <v>196.05</v>
      </c>
      <c r="D39" s="8">
        <f>(C39-B39)/B39</f>
        <v>2.9999999999990245E-4</v>
      </c>
      <c r="E39" s="25">
        <v>11.386584024792564</v>
      </c>
      <c r="F39" s="9">
        <f>(1+D39)*E39</f>
        <v>11.39</v>
      </c>
      <c r="G39" s="13">
        <f>E39/SUM($E$5:$E$124)</f>
        <v>7.3299194188346725E-3</v>
      </c>
      <c r="H39" s="17">
        <f>D39*G39</f>
        <v>2.1989758256496869E-6</v>
      </c>
      <c r="J39" s="10"/>
    </row>
    <row r="40" spans="1:10">
      <c r="A40" s="6" t="s">
        <v>51</v>
      </c>
      <c r="B40" s="9">
        <v>42.548880559213863</v>
      </c>
      <c r="C40" s="7">
        <v>42</v>
      </c>
      <c r="D40" s="8">
        <f>(C40-B40)/B40</f>
        <v>-1.2900000000000104E-2</v>
      </c>
      <c r="E40" s="25">
        <v>11.265322662344239</v>
      </c>
      <c r="F40" s="9">
        <f>(1+D40)*E40</f>
        <v>11.119999999999997</v>
      </c>
      <c r="G40" s="13">
        <f>E40/SUM($E$5:$E$124)</f>
        <v>7.2518594832623349E-3</v>
      </c>
      <c r="H40" s="17">
        <f>D40*G40</f>
        <v>-9.3548987334084871E-5</v>
      </c>
      <c r="J40" s="10"/>
    </row>
    <row r="41" spans="1:10">
      <c r="A41" s="6" t="s">
        <v>52</v>
      </c>
      <c r="B41" s="9">
        <v>391.7057590577902</v>
      </c>
      <c r="C41" s="7">
        <v>392.45</v>
      </c>
      <c r="D41" s="8">
        <f>(C41-B41)/B41</f>
        <v>1.899999999999959E-3</v>
      </c>
      <c r="E41" s="25">
        <v>10.739594769937119</v>
      </c>
      <c r="F41" s="9">
        <f>(1+D41)*E41</f>
        <v>10.76</v>
      </c>
      <c r="G41" s="13">
        <f>E41/SUM($E$5:$E$124)</f>
        <v>6.9134311118396611E-3</v>
      </c>
      <c r="H41" s="17">
        <f>D41*G41</f>
        <v>1.3135519112495073E-5</v>
      </c>
      <c r="J41" s="10"/>
    </row>
    <row r="42" spans="1:10">
      <c r="A42" s="6" t="s">
        <v>7</v>
      </c>
      <c r="B42" s="9">
        <v>29.924585218702866</v>
      </c>
      <c r="C42" s="7">
        <v>29.76</v>
      </c>
      <c r="D42" s="8">
        <f>(C42-B42)/B42</f>
        <v>-5.4999999999999563E-3</v>
      </c>
      <c r="E42" s="25">
        <v>10.04524886877828</v>
      </c>
      <c r="F42" s="9">
        <f>(1+D42)*E42</f>
        <v>9.99</v>
      </c>
      <c r="G42" s="13">
        <f>E42/SUM($E$5:$E$124)</f>
        <v>6.4664577708261652E-3</v>
      </c>
      <c r="H42" s="17">
        <f>D42*G42</f>
        <v>-3.5565517739543623E-5</v>
      </c>
      <c r="J42" s="10"/>
    </row>
    <row r="43" spans="1:10">
      <c r="A43" s="6" t="s">
        <v>14</v>
      </c>
      <c r="B43" s="9">
        <v>14.595075645209135</v>
      </c>
      <c r="C43" s="7">
        <v>14.76</v>
      </c>
      <c r="D43" s="8">
        <f>(C43-B43)/B43</f>
        <v>1.1300000000000074E-2</v>
      </c>
      <c r="E43" s="25">
        <v>10.016810046474834</v>
      </c>
      <c r="F43" s="9">
        <f>(1+D43)*E43</f>
        <v>10.130000000000001</v>
      </c>
      <c r="G43" s="13">
        <f>E43/SUM($E$5:$E$124)</f>
        <v>6.4481507636151405E-3</v>
      </c>
      <c r="H43" s="17">
        <f>D43*G43</f>
        <v>7.2864103628851565E-5</v>
      </c>
      <c r="J43" s="10"/>
    </row>
    <row r="44" spans="1:10">
      <c r="A44" s="6" t="s">
        <v>53</v>
      </c>
      <c r="B44" s="9">
        <v>29.504890591912879</v>
      </c>
      <c r="C44" s="7">
        <v>29.26</v>
      </c>
      <c r="D44" s="8">
        <f>(C44-B44)/B44</f>
        <v>-8.3000000000000261E-3</v>
      </c>
      <c r="E44" s="25">
        <v>9.9626903297368159</v>
      </c>
      <c r="F44" s="9">
        <f>(1+D44)*E44</f>
        <v>9.8800000000000008</v>
      </c>
      <c r="G44" s="13">
        <f>E44/SUM($E$5:$E$124)</f>
        <v>6.4133121182588073E-3</v>
      </c>
      <c r="H44" s="17">
        <f>D44*G44</f>
        <v>-5.3230490581548268E-5</v>
      </c>
      <c r="J44" s="10"/>
    </row>
    <row r="45" spans="1:10">
      <c r="A45" s="6" t="s">
        <v>54</v>
      </c>
      <c r="B45" s="9">
        <v>100</v>
      </c>
      <c r="C45" s="7">
        <v>98.9</v>
      </c>
      <c r="D45" s="8">
        <f>(C45-B45)/B45</f>
        <v>-1.0999999999999944E-2</v>
      </c>
      <c r="E45" s="25">
        <v>9.8988877654196141</v>
      </c>
      <c r="F45" s="9">
        <f>(1+D45)*E45</f>
        <v>9.7899999999999991</v>
      </c>
      <c r="G45" s="13">
        <f>E45/SUM($E$5:$E$124)</f>
        <v>6.3722403047858792E-3</v>
      </c>
      <c r="H45" s="17">
        <f>D45*G45</f>
        <v>-7.0094643352644308E-5</v>
      </c>
      <c r="J45" s="10"/>
    </row>
    <row r="46" spans="1:10">
      <c r="A46" s="6" t="s">
        <v>55</v>
      </c>
      <c r="B46" s="9">
        <v>111.7052881758764</v>
      </c>
      <c r="C46" s="7">
        <v>112.8</v>
      </c>
      <c r="D46" s="8">
        <f>(C46-B46)/B46</f>
        <v>9.8000000000000344E-3</v>
      </c>
      <c r="E46" s="25">
        <v>9.4573182808476925</v>
      </c>
      <c r="F46" s="9">
        <f>(1+D46)*E46</f>
        <v>9.5500000000000007</v>
      </c>
      <c r="G46" s="13">
        <f>E46/SUM($E$5:$E$124)</f>
        <v>6.0879874742019932E-3</v>
      </c>
      <c r="H46" s="17">
        <f>D46*G46</f>
        <v>5.9662277247179742E-5</v>
      </c>
      <c r="J46" s="10"/>
    </row>
    <row r="47" spans="1:10">
      <c r="A47" s="6" t="s">
        <v>56</v>
      </c>
      <c r="B47" s="9">
        <v>58.500895878956804</v>
      </c>
      <c r="C47" s="7">
        <v>58.77</v>
      </c>
      <c r="D47" s="8">
        <f>(C47-B47)/B47</f>
        <v>4.5999999999999609E-3</v>
      </c>
      <c r="E47" s="25">
        <v>9.2773243081823615</v>
      </c>
      <c r="F47" s="9">
        <f>(1+D47)*E47</f>
        <v>9.32</v>
      </c>
      <c r="G47" s="13">
        <f>E47/SUM($E$5:$E$124)</f>
        <v>5.9721194217079226E-3</v>
      </c>
      <c r="H47" s="17">
        <f>D47*G47</f>
        <v>2.7471749339856209E-5</v>
      </c>
      <c r="J47" s="10"/>
    </row>
    <row r="48" spans="1:10">
      <c r="A48" s="6" t="s">
        <v>58</v>
      </c>
      <c r="B48" s="9">
        <v>80.998970133882608</v>
      </c>
      <c r="C48" s="7">
        <v>78.650000000000006</v>
      </c>
      <c r="D48" s="8">
        <f>(C48-B48)/B48</f>
        <v>-2.9000000000000081E-2</v>
      </c>
      <c r="E48" s="25">
        <v>9.1658084449021633</v>
      </c>
      <c r="F48" s="9">
        <f>(1+D48)*E48</f>
        <v>8.8999999999999986</v>
      </c>
      <c r="G48" s="13">
        <f>E48/SUM($E$5:$E$124)</f>
        <v>5.9003329851448705E-3</v>
      </c>
      <c r="H48" s="17">
        <f>D48*G48</f>
        <v>-1.7110965656920172E-4</v>
      </c>
      <c r="J48" s="10"/>
    </row>
    <row r="49" spans="1:10">
      <c r="A49" s="6" t="s">
        <v>57</v>
      </c>
      <c r="B49" s="9">
        <v>43.099830118916763</v>
      </c>
      <c r="C49" s="7">
        <v>43.13</v>
      </c>
      <c r="D49" s="8">
        <f>(C49-B49)/B49</f>
        <v>6.9999999999993993E-4</v>
      </c>
      <c r="E49" s="25">
        <v>8.9137603677425812</v>
      </c>
      <c r="F49" s="9">
        <f>(1+D49)*E49</f>
        <v>8.92</v>
      </c>
      <c r="G49" s="13">
        <f>E49/SUM($E$5:$E$124)</f>
        <v>5.7380813308094414E-3</v>
      </c>
      <c r="H49" s="17">
        <f>D49*G49</f>
        <v>4.0166569315662641E-6</v>
      </c>
      <c r="J49" s="10"/>
    </row>
    <row r="50" spans="1:10">
      <c r="A50" s="6" t="s">
        <v>12</v>
      </c>
      <c r="B50" s="9">
        <v>28.235530546623796</v>
      </c>
      <c r="C50" s="7">
        <v>28.1</v>
      </c>
      <c r="D50" s="8">
        <f>(C50-B50)/B50</f>
        <v>-4.8000000000000057E-3</v>
      </c>
      <c r="E50" s="25">
        <v>8.7319131832797421</v>
      </c>
      <c r="F50" s="9">
        <f>(1+D50)*E50</f>
        <v>8.69</v>
      </c>
      <c r="G50" s="13">
        <f>E50/SUM($E$5:$E$124)</f>
        <v>5.6210203048026658E-3</v>
      </c>
      <c r="H50" s="17">
        <f>D50*G50</f>
        <v>-2.6980897463052827E-5</v>
      </c>
      <c r="J50" s="10"/>
    </row>
    <row r="51" spans="1:10">
      <c r="A51" s="6" t="s">
        <v>59</v>
      </c>
      <c r="B51" s="9">
        <v>19.269596199524941</v>
      </c>
      <c r="C51" s="7">
        <v>19.47</v>
      </c>
      <c r="D51" s="8">
        <f>(C51-B51)/B51</f>
        <v>1.0399999999999946E-2</v>
      </c>
      <c r="E51" s="25">
        <v>8.5114806017418836</v>
      </c>
      <c r="F51" s="9">
        <f>(1+D51)*E51</f>
        <v>8.6</v>
      </c>
      <c r="G51" s="13">
        <f>E51/SUM($E$5:$E$124)</f>
        <v>5.4791205869908844E-3</v>
      </c>
      <c r="H51" s="17">
        <f>D51*G51</f>
        <v>5.6982854104704901E-5</v>
      </c>
      <c r="J51" s="10"/>
    </row>
    <row r="52" spans="1:10">
      <c r="A52" s="6" t="s">
        <v>60</v>
      </c>
      <c r="B52" s="9">
        <v>36.670651524208012</v>
      </c>
      <c r="C52" s="7">
        <v>36.81</v>
      </c>
      <c r="D52" s="8">
        <f>(C52-B52)/B52</f>
        <v>3.8000000000000078E-3</v>
      </c>
      <c r="E52" s="25">
        <v>8.4379358437935856</v>
      </c>
      <c r="F52" s="9">
        <f>(1+D52)*E52</f>
        <v>8.4700000000000006</v>
      </c>
      <c r="G52" s="13">
        <f>E52/SUM($E$5:$E$124)</f>
        <v>5.4317774023918009E-3</v>
      </c>
      <c r="H52" s="17">
        <f>D52*G52</f>
        <v>2.0640754129088887E-5</v>
      </c>
      <c r="J52" s="10"/>
    </row>
    <row r="53" spans="1:10">
      <c r="A53" s="6" t="s">
        <v>61</v>
      </c>
      <c r="B53" s="9">
        <v>14.355449292687787</v>
      </c>
      <c r="C53" s="7">
        <v>14.41</v>
      </c>
      <c r="D53" s="8">
        <f>(C53-B53)/B53</f>
        <v>3.799999999999967E-3</v>
      </c>
      <c r="E53" s="25">
        <v>8.0693365212193662</v>
      </c>
      <c r="F53" s="9">
        <f>(1+D53)*E53</f>
        <v>8.1</v>
      </c>
      <c r="G53" s="13">
        <f>E53/SUM($E$5:$E$124)</f>
        <v>5.1944978700559129E-3</v>
      </c>
      <c r="H53" s="17">
        <f>D53*G53</f>
        <v>1.9739091906212297E-5</v>
      </c>
      <c r="J53" s="10"/>
    </row>
    <row r="54" spans="1:10">
      <c r="A54" s="6" t="s">
        <v>11</v>
      </c>
      <c r="B54" s="9">
        <v>10.090180360721444</v>
      </c>
      <c r="C54" s="7">
        <v>10.07</v>
      </c>
      <c r="D54" s="8">
        <f>(C54-B54)/B54</f>
        <v>-2.0000000000000794E-3</v>
      </c>
      <c r="E54" s="25">
        <v>7.895791583166333</v>
      </c>
      <c r="F54" s="9">
        <f>(1+D54)*E54</f>
        <v>7.879999999999999</v>
      </c>
      <c r="G54" s="13">
        <f>E54/SUM($E$5:$E$124)</f>
        <v>5.0827812736907833E-3</v>
      </c>
      <c r="H54" s="17">
        <f>D54*G54</f>
        <v>-1.016556254738197E-5</v>
      </c>
      <c r="J54" s="10"/>
    </row>
    <row r="55" spans="1:10">
      <c r="A55" s="6" t="s">
        <v>62</v>
      </c>
      <c r="B55" s="9">
        <v>2.7758970886932972</v>
      </c>
      <c r="C55" s="7">
        <v>2.87</v>
      </c>
      <c r="D55" s="8">
        <f>(C55-B55)/B55</f>
        <v>3.3900000000000041E-2</v>
      </c>
      <c r="E55" s="25">
        <v>7.7957249250411067</v>
      </c>
      <c r="F55" s="9">
        <f>(1+D55)*E55</f>
        <v>8.06</v>
      </c>
      <c r="G55" s="13">
        <f>E55/SUM($E$5:$E$124)</f>
        <v>5.0183650678319452E-3</v>
      </c>
      <c r="H55" s="17">
        <f>D55*G55</f>
        <v>1.7012257579950314E-4</v>
      </c>
      <c r="J55" s="10"/>
    </row>
    <row r="56" spans="1:10">
      <c r="A56" s="6" t="s">
        <v>63</v>
      </c>
      <c r="B56" s="9">
        <v>97.995812144780146</v>
      </c>
      <c r="C56" s="7">
        <v>98.28</v>
      </c>
      <c r="D56" s="8">
        <f>(C56-B56)/B56</f>
        <v>2.8999999999999256E-3</v>
      </c>
      <c r="E56" s="25">
        <v>7.7874164921726994</v>
      </c>
      <c r="F56" s="9">
        <f>(1+D56)*E56</f>
        <v>7.81</v>
      </c>
      <c r="G56" s="13">
        <f>E56/SUM($E$5:$E$124)</f>
        <v>5.0130166557630033E-3</v>
      </c>
      <c r="H56" s="17">
        <f>D56*G56</f>
        <v>1.4537748301712337E-5</v>
      </c>
      <c r="J56" s="10"/>
    </row>
    <row r="57" spans="1:10">
      <c r="A57" s="6" t="s">
        <v>64</v>
      </c>
      <c r="B57" s="9">
        <v>13.85530227948464</v>
      </c>
      <c r="C57" s="7">
        <v>13.98</v>
      </c>
      <c r="D57" s="8">
        <f>(C57-B57)/B57</f>
        <v>8.9999999999999126E-3</v>
      </c>
      <c r="E57" s="25">
        <v>7.4826560951437076</v>
      </c>
      <c r="F57" s="9">
        <f>(1+D57)*E57</f>
        <v>7.55</v>
      </c>
      <c r="G57" s="13">
        <f>E57/SUM($E$5:$E$124)</f>
        <v>4.8168323438209266E-3</v>
      </c>
      <c r="H57" s="17">
        <f>D57*G57</f>
        <v>4.3351491094387919E-5</v>
      </c>
      <c r="J57" s="10"/>
    </row>
    <row r="58" spans="1:10">
      <c r="A58" s="6" t="s">
        <v>17</v>
      </c>
      <c r="B58" s="9">
        <v>25.405828280852731</v>
      </c>
      <c r="C58" s="7">
        <v>25.98</v>
      </c>
      <c r="D58" s="8">
        <f>(C58-B58)/B58</f>
        <v>2.2599999999999912E-2</v>
      </c>
      <c r="E58" s="25">
        <v>7.324467044787796</v>
      </c>
      <c r="F58" s="9">
        <f>(1+D58)*E58</f>
        <v>7.49</v>
      </c>
      <c r="G58" s="13">
        <f>E58/SUM($E$5:$E$124)</f>
        <v>4.7150008384698799E-3</v>
      </c>
      <c r="H58" s="17">
        <f>D58*G58</f>
        <v>1.0655901894941886E-4</v>
      </c>
      <c r="J58" s="10"/>
    </row>
    <row r="59" spans="1:10">
      <c r="A59" s="6" t="s">
        <v>21</v>
      </c>
      <c r="B59" s="9">
        <v>35.175175175175177</v>
      </c>
      <c r="C59" s="7">
        <v>35.14</v>
      </c>
      <c r="D59" s="8">
        <f>(C59-B59)/B59</f>
        <v>-1.0000000000000325E-3</v>
      </c>
      <c r="E59" s="25">
        <v>7.0170170170170172</v>
      </c>
      <c r="F59" s="9">
        <f>(1+D59)*E59</f>
        <v>7.01</v>
      </c>
      <c r="G59" s="13">
        <f>E59/SUM($E$5:$E$124)</f>
        <v>4.5170851225737468E-3</v>
      </c>
      <c r="H59" s="17">
        <f>D59*G59</f>
        <v>-4.517085122573894E-6</v>
      </c>
      <c r="J59" s="10"/>
    </row>
    <row r="60" spans="1:10">
      <c r="A60" s="6" t="s">
        <v>65</v>
      </c>
      <c r="B60" s="9">
        <v>108.25412706353177</v>
      </c>
      <c r="C60" s="7">
        <v>108.2</v>
      </c>
      <c r="D60" s="8">
        <f>(C60-B60)/B60</f>
        <v>-5.0000000000000001E-4</v>
      </c>
      <c r="E60" s="25">
        <v>6.8234117058529264</v>
      </c>
      <c r="F60" s="9">
        <f>(1+D60)*E60</f>
        <v>6.82</v>
      </c>
      <c r="G60" s="13">
        <f>E60/SUM($E$5:$E$124)</f>
        <v>4.3924550028818969E-3</v>
      </c>
      <c r="H60" s="17">
        <f>D60*G60</f>
        <v>-2.1962275014409484E-6</v>
      </c>
      <c r="J60" s="10"/>
    </row>
    <row r="61" spans="1:10">
      <c r="A61" s="6" t="s">
        <v>66</v>
      </c>
      <c r="B61" s="9">
        <v>57.399794450154168</v>
      </c>
      <c r="C61" s="7">
        <v>55.85</v>
      </c>
      <c r="D61" s="8">
        <f>(C61-B61)/B61</f>
        <v>-2.7000000000000073E-2</v>
      </c>
      <c r="E61" s="25">
        <v>6.5364850976361772</v>
      </c>
      <c r="F61" s="9">
        <f>(1+D61)*E61</f>
        <v>6.36</v>
      </c>
      <c r="G61" s="13">
        <f>E61/SUM($E$5:$E$124)</f>
        <v>4.2077508885690331E-3</v>
      </c>
      <c r="H61" s="17">
        <f>D61*G61</f>
        <v>-1.136092739913642E-4</v>
      </c>
      <c r="J61" s="10"/>
    </row>
    <row r="62" spans="1:10">
      <c r="A62" s="6" t="s">
        <v>68</v>
      </c>
      <c r="B62" s="9">
        <v>26.954232482786555</v>
      </c>
      <c r="C62" s="7">
        <v>26.62</v>
      </c>
      <c r="D62" s="8">
        <f>(C62-B62)/B62</f>
        <v>-1.2400000000000024E-2</v>
      </c>
      <c r="E62" s="25">
        <v>6.0247063588497367</v>
      </c>
      <c r="F62" s="9">
        <f>(1+D62)*E62</f>
        <v>5.9499999999999993</v>
      </c>
      <c r="G62" s="13">
        <f>E62/SUM($E$5:$E$124)</f>
        <v>3.8783020470719199E-3</v>
      </c>
      <c r="H62" s="17">
        <f>D62*G62</f>
        <v>-4.8090945383691899E-5</v>
      </c>
      <c r="J62" s="10"/>
    </row>
    <row r="63" spans="1:10">
      <c r="A63" s="6" t="s">
        <v>67</v>
      </c>
      <c r="B63" s="9">
        <v>67.060662303409202</v>
      </c>
      <c r="C63" s="7">
        <v>68.650000000000006</v>
      </c>
      <c r="D63" s="8">
        <f>(C63-B63)/B63</f>
        <v>2.3700000000000079E-2</v>
      </c>
      <c r="E63" s="25">
        <v>5.9001660642766431</v>
      </c>
      <c r="F63" s="9">
        <f>(1+D63)*E63</f>
        <v>6.04</v>
      </c>
      <c r="G63" s="13">
        <f>E63/SUM($E$5:$E$124)</f>
        <v>3.7981313548229477E-3</v>
      </c>
      <c r="H63" s="17">
        <f>D63*G63</f>
        <v>9.0015713109304162E-5</v>
      </c>
      <c r="J63" s="10"/>
    </row>
    <row r="64" spans="1:10">
      <c r="A64" s="6" t="s">
        <v>70</v>
      </c>
      <c r="B64" s="9">
        <v>57.371440072456473</v>
      </c>
      <c r="C64" s="7">
        <v>57.01</v>
      </c>
      <c r="D64" s="8">
        <f>(C64-B64)/B64</f>
        <v>-6.2999999999999792E-3</v>
      </c>
      <c r="E64" s="25">
        <v>5.796518063801952</v>
      </c>
      <c r="F64" s="9">
        <f>(1+D64)*E64</f>
        <v>5.76</v>
      </c>
      <c r="G64" s="13">
        <f>E64/SUM($E$5:$E$124)</f>
        <v>3.7314097208589227E-3</v>
      </c>
      <c r="H64" s="17">
        <f>D64*G64</f>
        <v>-2.3507881241411136E-5</v>
      </c>
      <c r="J64" s="10"/>
    </row>
    <row r="65" spans="1:10">
      <c r="A65" s="6" t="s">
        <v>71</v>
      </c>
      <c r="B65" s="9">
        <v>10.524725551415045</v>
      </c>
      <c r="C65" s="7">
        <v>10.45</v>
      </c>
      <c r="D65" s="8">
        <f>(C65-B65)/B65</f>
        <v>-7.0999999999999215E-3</v>
      </c>
      <c r="E65" s="25">
        <v>5.7810454224997487</v>
      </c>
      <c r="F65" s="9">
        <f>(1+D65)*E65</f>
        <v>5.7400000000000011</v>
      </c>
      <c r="G65" s="13">
        <f>E65/SUM($E$5:$E$124)</f>
        <v>3.7214494717012522E-3</v>
      </c>
      <c r="H65" s="17">
        <f>D65*G65</f>
        <v>-2.6422291249078598E-5</v>
      </c>
      <c r="J65" s="10"/>
    </row>
    <row r="66" spans="1:10">
      <c r="A66" s="6" t="s">
        <v>69</v>
      </c>
      <c r="B66" s="9">
        <v>26.255209366937883</v>
      </c>
      <c r="C66" s="7">
        <v>26.46</v>
      </c>
      <c r="D66" s="8">
        <f>(C66-B66)/B66</f>
        <v>7.8000000000000734E-3</v>
      </c>
      <c r="E66" s="25">
        <v>5.77495534828339</v>
      </c>
      <c r="F66" s="9">
        <f>(1+D66)*E66</f>
        <v>5.82</v>
      </c>
      <c r="G66" s="13">
        <f>E66/SUM($E$5:$E$124)</f>
        <v>3.7175290902098906E-3</v>
      </c>
      <c r="H66" s="17">
        <f>D66*G66</f>
        <v>2.8996726903637419E-5</v>
      </c>
      <c r="J66" s="10"/>
    </row>
    <row r="67" spans="1:10">
      <c r="A67" s="6" t="s">
        <v>23</v>
      </c>
      <c r="B67" s="9">
        <v>5.9741819273491448</v>
      </c>
      <c r="C67" s="7">
        <v>5.97</v>
      </c>
      <c r="D67" s="8">
        <f>(C67-B67)/B67</f>
        <v>-7.0000000000010364E-4</v>
      </c>
      <c r="E67" s="25">
        <v>5.4438106674672273</v>
      </c>
      <c r="F67" s="9">
        <f>(1+D67)*E67</f>
        <v>5.4399999999999995</v>
      </c>
      <c r="G67" s="13">
        <f>E67/SUM($E$5:$E$124)</f>
        <v>3.5043603452137441E-3</v>
      </c>
      <c r="H67" s="17">
        <f>D67*G67</f>
        <v>-2.453052241649984E-6</v>
      </c>
      <c r="J67" s="10"/>
    </row>
    <row r="68" spans="1:10">
      <c r="A68" s="6" t="s">
        <v>72</v>
      </c>
      <c r="B68" s="9">
        <v>23.290406309274232</v>
      </c>
      <c r="C68" s="7">
        <v>23.33</v>
      </c>
      <c r="D68" s="8">
        <f>(C68-B68)/B68</f>
        <v>1.7000000000000066E-3</v>
      </c>
      <c r="E68" s="25">
        <v>5.3309374064091042</v>
      </c>
      <c r="F68" s="9">
        <f>(1+D68)*E68</f>
        <v>5.34</v>
      </c>
      <c r="G68" s="13">
        <f>E68/SUM($E$5:$E$124)</f>
        <v>3.4317001069635632E-3</v>
      </c>
      <c r="H68" s="17">
        <f>D68*G68</f>
        <v>5.8338901818380798E-6</v>
      </c>
      <c r="J68" s="10"/>
    </row>
    <row r="69" spans="1:10">
      <c r="A69" s="6" t="s">
        <v>73</v>
      </c>
      <c r="B69" s="9">
        <v>105.00196540880502</v>
      </c>
      <c r="C69" s="7">
        <v>106.85</v>
      </c>
      <c r="D69" s="8">
        <f>(C69-B69)/B69</f>
        <v>1.7600000000000053E-2</v>
      </c>
      <c r="E69" s="25">
        <v>5.0019654088050309</v>
      </c>
      <c r="F69" s="9">
        <f>(1+D69)*E69</f>
        <v>5.09</v>
      </c>
      <c r="G69" s="13">
        <f>E69/SUM($E$5:$E$124)</f>
        <v>3.2199299897589118E-3</v>
      </c>
      <c r="H69" s="17">
        <f>D69*G69</f>
        <v>5.6670767819757019E-5</v>
      </c>
      <c r="J69" s="10"/>
    </row>
    <row r="70" spans="1:10">
      <c r="A70" s="6" t="s">
        <v>75</v>
      </c>
      <c r="B70" s="9">
        <v>84.817488969113512</v>
      </c>
      <c r="C70" s="7">
        <v>84.58</v>
      </c>
      <c r="D70" s="8">
        <f>(C70-B70)/B70</f>
        <v>-2.7999999999999527E-3</v>
      </c>
      <c r="E70" s="25">
        <v>4.7733654231849174</v>
      </c>
      <c r="F70" s="9">
        <f>(1+D70)*E70</f>
        <v>4.76</v>
      </c>
      <c r="G70" s="13">
        <f>E70/SUM($E$5:$E$124)</f>
        <v>3.0727726447558989E-3</v>
      </c>
      <c r="H70" s="17">
        <f>D70*G70</f>
        <v>-8.6037634053163709E-6</v>
      </c>
      <c r="J70" s="10"/>
    </row>
    <row r="71" spans="1:10">
      <c r="A71" s="6" t="s">
        <v>74</v>
      </c>
      <c r="B71" s="9">
        <v>24.799206742687161</v>
      </c>
      <c r="C71" s="7">
        <v>25.01</v>
      </c>
      <c r="D71" s="8">
        <f>(C71-B71)/B71</f>
        <v>8.4999999999999711E-3</v>
      </c>
      <c r="E71" s="25">
        <v>4.7595438770451164</v>
      </c>
      <c r="F71" s="9">
        <f>(1+D71)*E71</f>
        <v>4.8</v>
      </c>
      <c r="G71" s="13">
        <f>E71/SUM($E$5:$E$124)</f>
        <v>3.0638752599715015E-3</v>
      </c>
      <c r="H71" s="17">
        <f>D71*G71</f>
        <v>2.6042939709757676E-5</v>
      </c>
      <c r="J71" s="10"/>
    </row>
    <row r="72" spans="1:10">
      <c r="A72" s="6" t="s">
        <v>76</v>
      </c>
      <c r="B72" s="9">
        <v>75.330132052821128</v>
      </c>
      <c r="C72" s="7">
        <v>75.3</v>
      </c>
      <c r="D72" s="8">
        <f>(C72-B72)/B72</f>
        <v>-4.0000000000002891E-4</v>
      </c>
      <c r="E72" s="25">
        <v>4.7218887555022002</v>
      </c>
      <c r="F72" s="9">
        <f>(1+D72)*E72</f>
        <v>4.7199999999999989</v>
      </c>
      <c r="G72" s="13">
        <f>E72/SUM($E$5:$E$124)</f>
        <v>3.0396354171867796E-3</v>
      </c>
      <c r="H72" s="17">
        <f>D72*G72</f>
        <v>-1.2158541668747998E-6</v>
      </c>
      <c r="J72" s="10"/>
    </row>
    <row r="73" spans="1:10">
      <c r="A73" s="6" t="s">
        <v>77</v>
      </c>
      <c r="B73" s="9">
        <v>63.579750903977498</v>
      </c>
      <c r="C73" s="7">
        <v>63.3</v>
      </c>
      <c r="D73" s="8">
        <f>(C73-B73)/B73</f>
        <v>-4.3999999999999968E-3</v>
      </c>
      <c r="E73" s="25">
        <v>4.7006830052229809</v>
      </c>
      <c r="F73" s="9">
        <f>(1+D73)*E73</f>
        <v>4.68</v>
      </c>
      <c r="G73" s="13">
        <f>E73/SUM($E$5:$E$124)</f>
        <v>3.025984576827268E-3</v>
      </c>
      <c r="H73" s="17">
        <f>D73*G73</f>
        <v>-1.331433213803997E-5</v>
      </c>
      <c r="J73" s="10"/>
    </row>
    <row r="74" spans="1:10">
      <c r="A74" s="6" t="s">
        <v>22</v>
      </c>
      <c r="B74" s="9">
        <v>60.197861496952143</v>
      </c>
      <c r="C74" s="7">
        <v>60.24</v>
      </c>
      <c r="D74" s="8">
        <f>(C74-B74)/B74</f>
        <v>6.9999999999987433E-4</v>
      </c>
      <c r="E74" s="25">
        <v>4.5867892475267311</v>
      </c>
      <c r="F74" s="9">
        <f>(1+D74)*E74</f>
        <v>4.59</v>
      </c>
      <c r="G74" s="13">
        <f>E74/SUM($E$5:$E$124)</f>
        <v>2.9526674112573242E-3</v>
      </c>
      <c r="H74" s="17">
        <f>D74*G74</f>
        <v>2.0668671878797557E-6</v>
      </c>
      <c r="J74" s="10"/>
    </row>
    <row r="75" spans="1:10">
      <c r="A75" s="6" t="s">
        <v>78</v>
      </c>
      <c r="B75" s="9">
        <v>92.932479053721053</v>
      </c>
      <c r="C75" s="7">
        <v>94.28</v>
      </c>
      <c r="D75" s="8">
        <f>(C75-B75)/B75</f>
        <v>1.4499999999999921E-2</v>
      </c>
      <c r="E75" s="25">
        <v>4.4455396747166089</v>
      </c>
      <c r="F75" s="9">
        <f>(1+D75)*E75</f>
        <v>4.51</v>
      </c>
      <c r="G75" s="13">
        <f>E75/SUM($E$5:$E$124)</f>
        <v>2.8617404058983243E-3</v>
      </c>
      <c r="H75" s="17">
        <f>D75*G75</f>
        <v>4.1495235885525476E-5</v>
      </c>
      <c r="J75" s="10"/>
    </row>
    <row r="76" spans="1:10">
      <c r="A76" s="6" t="s">
        <v>79</v>
      </c>
      <c r="B76" s="9">
        <v>14.645058659773316</v>
      </c>
      <c r="C76" s="7">
        <v>14.73</v>
      </c>
      <c r="D76" s="8">
        <f>(C76-B76)/B76</f>
        <v>5.7999999999999675E-3</v>
      </c>
      <c r="E76" s="25">
        <v>4.2752038178564327</v>
      </c>
      <c r="F76" s="9">
        <f>(1+D76)*E76</f>
        <v>4.3</v>
      </c>
      <c r="G76" s="13">
        <f>E76/SUM($E$5:$E$124)</f>
        <v>2.752089600862791E-3</v>
      </c>
      <c r="H76" s="17">
        <f>D76*G76</f>
        <v>1.5962119685004099E-5</v>
      </c>
      <c r="J76" s="10"/>
    </row>
    <row r="77" spans="1:10">
      <c r="A77" s="6" t="s">
        <v>80</v>
      </c>
      <c r="B77" s="9">
        <v>30.161506017899395</v>
      </c>
      <c r="C77" s="7">
        <v>29.32</v>
      </c>
      <c r="D77" s="8">
        <f>(C77-B77)/B77</f>
        <v>-2.7900000000000053E-2</v>
      </c>
      <c r="E77" s="25">
        <v>3.878201831087337</v>
      </c>
      <c r="F77" s="9">
        <f>(1+D77)*E77</f>
        <v>3.77</v>
      </c>
      <c r="G77" s="13">
        <f>E77/SUM($E$5:$E$124)</f>
        <v>2.4965263374820724E-3</v>
      </c>
      <c r="H77" s="17">
        <f>D77*G77</f>
        <v>-6.9653084815749956E-5</v>
      </c>
      <c r="J77" s="10"/>
    </row>
    <row r="78" spans="1:10">
      <c r="A78" s="6" t="s">
        <v>6</v>
      </c>
      <c r="B78" s="9">
        <v>55.599154844551762</v>
      </c>
      <c r="C78" s="7">
        <v>55.26</v>
      </c>
      <c r="D78" s="8">
        <f>(C78-B78)/B78</f>
        <v>-6.0999999999999735E-3</v>
      </c>
      <c r="E78" s="25">
        <v>3.8434450145889927</v>
      </c>
      <c r="F78" s="9">
        <f>(1+D78)*E78</f>
        <v>3.82</v>
      </c>
      <c r="G78" s="13">
        <f>E78/SUM($E$5:$E$124)</f>
        <v>2.4741522291776528E-3</v>
      </c>
      <c r="H78" s="17">
        <f>D78*G78</f>
        <v>-1.5092328597983617E-5</v>
      </c>
      <c r="J78" s="10"/>
    </row>
    <row r="79" spans="1:10">
      <c r="A79" s="6" t="s">
        <v>81</v>
      </c>
      <c r="B79" s="9">
        <v>9.8003629764065341</v>
      </c>
      <c r="C79" s="7">
        <v>9.7200000000000006</v>
      </c>
      <c r="D79" s="8">
        <f>(C79-B79)/B79</f>
        <v>-8.1999999999999868E-3</v>
      </c>
      <c r="E79" s="25">
        <v>3.7507562008469453</v>
      </c>
      <c r="F79" s="9">
        <f>(1+D79)*E79</f>
        <v>3.72</v>
      </c>
      <c r="G79" s="13">
        <f>E79/SUM($E$5:$E$124)</f>
        <v>2.4144853849092322E-3</v>
      </c>
      <c r="H79" s="17">
        <f>D79*G79</f>
        <v>-1.9798780156255671E-5</v>
      </c>
      <c r="J79" s="10"/>
    </row>
    <row r="80" spans="1:10">
      <c r="A80" s="6" t="s">
        <v>82</v>
      </c>
      <c r="B80" s="9">
        <v>40.608045859351009</v>
      </c>
      <c r="C80" s="7">
        <v>39.67</v>
      </c>
      <c r="D80" s="8">
        <f>(C80-B80)/B80</f>
        <v>-2.3099999999999968E-2</v>
      </c>
      <c r="E80" s="25">
        <v>3.7465451939809604</v>
      </c>
      <c r="F80" s="9">
        <f>(1+D80)*E80</f>
        <v>3.66</v>
      </c>
      <c r="G80" s="13">
        <f>E80/SUM($E$5:$E$124)</f>
        <v>2.4117746210021093E-3</v>
      </c>
      <c r="H80" s="17">
        <f>D80*G80</f>
        <v>-5.5711993745148645E-5</v>
      </c>
      <c r="J80" s="10"/>
    </row>
    <row r="81" spans="1:10">
      <c r="A81" s="6" t="s">
        <v>84</v>
      </c>
      <c r="B81" s="9">
        <v>79.539106145251409</v>
      </c>
      <c r="C81" s="7">
        <v>79.73</v>
      </c>
      <c r="D81" s="8">
        <f>(C81-B81)/B81</f>
        <v>2.3999999999998888E-3</v>
      </c>
      <c r="E81" s="25">
        <v>3.6113328012769355</v>
      </c>
      <c r="F81" s="9">
        <f>(1+D81)*E81</f>
        <v>3.62</v>
      </c>
      <c r="G81" s="13">
        <f>E81/SUM($E$5:$E$124)</f>
        <v>2.3247339474523976E-3</v>
      </c>
      <c r="H81" s="17">
        <f>D81*G81</f>
        <v>5.5793614738854957E-6</v>
      </c>
      <c r="J81" s="10"/>
    </row>
    <row r="82" spans="1:10">
      <c r="A82" s="6" t="s">
        <v>83</v>
      </c>
      <c r="B82" s="9">
        <v>29.103956942091095</v>
      </c>
      <c r="C82" s="7">
        <v>29.2</v>
      </c>
      <c r="D82" s="8">
        <f>(C82-B82)/B82</f>
        <v>3.300000000000124E-3</v>
      </c>
      <c r="E82" s="25">
        <v>3.6080932921359512</v>
      </c>
      <c r="F82" s="9">
        <f>(1+D82)*E82</f>
        <v>3.62</v>
      </c>
      <c r="G82" s="13">
        <f>E82/SUM($E$5:$E$124)</f>
        <v>2.3226485686497389E-3</v>
      </c>
      <c r="H82" s="17">
        <f>D82*G82</f>
        <v>7.6647402765444267E-6</v>
      </c>
      <c r="J82" s="10"/>
    </row>
    <row r="83" spans="1:10">
      <c r="A83" s="6" t="s">
        <v>85</v>
      </c>
      <c r="B83" s="9">
        <v>42.123804730749875</v>
      </c>
      <c r="C83" s="7">
        <v>41.85</v>
      </c>
      <c r="D83" s="8">
        <f>(C83-B83)/B83</f>
        <v>-6.4999999999999772E-3</v>
      </c>
      <c r="E83" s="25">
        <v>3.4927025666834424</v>
      </c>
      <c r="F83" s="9">
        <f>(1+D83)*E83</f>
        <v>3.47</v>
      </c>
      <c r="G83" s="13">
        <f>E83/SUM($E$5:$E$124)</f>
        <v>2.2483677555976285E-3</v>
      </c>
      <c r="H83" s="17">
        <f>D83*G83</f>
        <v>-1.4614390411384534E-5</v>
      </c>
      <c r="J83" s="10"/>
    </row>
    <row r="84" spans="1:10">
      <c r="A84" s="6" t="s">
        <v>86</v>
      </c>
      <c r="B84" s="9">
        <v>86.196443007275661</v>
      </c>
      <c r="C84" s="7">
        <v>85.3</v>
      </c>
      <c r="D84" s="8">
        <f>(C84-B84)/B84</f>
        <v>-1.0399999999999968E-2</v>
      </c>
      <c r="E84" s="25">
        <v>3.4054163298302345</v>
      </c>
      <c r="F84" s="9">
        <f>(1+D84)*E84</f>
        <v>3.37</v>
      </c>
      <c r="G84" s="13">
        <f>E84/SUM($E$5:$E$124)</f>
        <v>2.1921787281321253E-3</v>
      </c>
      <c r="H84" s="17">
        <f>D84*G84</f>
        <v>-2.2798658772574032E-5</v>
      </c>
      <c r="J84" s="10"/>
    </row>
    <row r="85" spans="1:10">
      <c r="A85" s="6" t="s">
        <v>88</v>
      </c>
      <c r="B85" s="9">
        <v>65.946977304679649</v>
      </c>
      <c r="C85" s="7">
        <v>65.67</v>
      </c>
      <c r="D85" s="8">
        <f>(C85-B85)/B85</f>
        <v>-4.1999999999998905E-3</v>
      </c>
      <c r="E85" s="25">
        <v>3.3038762803775859</v>
      </c>
      <c r="F85" s="9">
        <f>(1+D85)*E85</f>
        <v>3.2900000000000005</v>
      </c>
      <c r="G85" s="13">
        <f>E85/SUM($E$5:$E$124)</f>
        <v>2.1268140517154014E-3</v>
      </c>
      <c r="H85" s="17">
        <f>D85*G85</f>
        <v>-8.9326190172044522E-6</v>
      </c>
      <c r="J85" s="10"/>
    </row>
    <row r="86" spans="1:10">
      <c r="A86" s="6" t="s">
        <v>87</v>
      </c>
      <c r="B86" s="9">
        <v>51.009120900446341</v>
      </c>
      <c r="C86" s="7">
        <v>52.57</v>
      </c>
      <c r="D86" s="8">
        <f>(C86-B86)/B86</f>
        <v>3.0600000000000026E-2</v>
      </c>
      <c r="E86" s="25">
        <v>3.2505336697069671</v>
      </c>
      <c r="F86" s="9">
        <f>(1+D86)*E86</f>
        <v>3.35</v>
      </c>
      <c r="G86" s="13">
        <f>E86/SUM($E$5:$E$124)</f>
        <v>2.0924756551467228E-3</v>
      </c>
      <c r="H86" s="17">
        <f>D86*G86</f>
        <v>6.4029755047489775E-5</v>
      </c>
      <c r="J86" s="10"/>
    </row>
    <row r="87" spans="1:10">
      <c r="A87" s="6" t="s">
        <v>89</v>
      </c>
      <c r="B87" s="9">
        <v>56.180914714531994</v>
      </c>
      <c r="C87" s="7">
        <v>55.4</v>
      </c>
      <c r="D87" s="8">
        <f>(C87-B87)/B87</f>
        <v>-1.3900000000000013E-2</v>
      </c>
      <c r="E87" s="25">
        <v>3.2146841091167224</v>
      </c>
      <c r="F87" s="9">
        <f>(1+D87)*E87</f>
        <v>3.17</v>
      </c>
      <c r="G87" s="13">
        <f>E87/SUM($E$5:$E$124)</f>
        <v>2.0693981114553953E-3</v>
      </c>
      <c r="H87" s="17">
        <f>D87*G87</f>
        <v>-2.8764633749230023E-5</v>
      </c>
      <c r="J87" s="10"/>
    </row>
    <row r="88" spans="1:10">
      <c r="A88" s="6" t="s">
        <v>90</v>
      </c>
      <c r="B88" s="9">
        <v>20.599175630843469</v>
      </c>
      <c r="C88" s="7">
        <v>20.49</v>
      </c>
      <c r="D88" s="8">
        <f>(C88-B88)/B88</f>
        <v>-5.2999999999999992E-3</v>
      </c>
      <c r="E88" s="25">
        <v>3.1667839549612946</v>
      </c>
      <c r="F88" s="9">
        <f>(1+D88)*E88</f>
        <v>3.15</v>
      </c>
      <c r="G88" s="13">
        <f>E88/SUM($E$5:$E$124)</f>
        <v>2.0385632035194797E-3</v>
      </c>
      <c r="H88" s="17">
        <f>D88*G88</f>
        <v>-1.080438497865324E-5</v>
      </c>
      <c r="J88" s="10"/>
    </row>
    <row r="89" spans="1:10">
      <c r="A89" s="6" t="s">
        <v>91</v>
      </c>
      <c r="B89" s="9">
        <v>22.364344958529031</v>
      </c>
      <c r="C89" s="7">
        <v>22.38</v>
      </c>
      <c r="D89" s="8">
        <f>(C89-B89)/B89</f>
        <v>6.9999999999988485E-4</v>
      </c>
      <c r="E89" s="25">
        <v>2.9279504346957133</v>
      </c>
      <c r="F89" s="9">
        <f>(1+D89)*E89</f>
        <v>2.93</v>
      </c>
      <c r="G89" s="13">
        <f>E89/SUM($E$5:$E$124)</f>
        <v>1.8848181949856124E-3</v>
      </c>
      <c r="H89" s="17">
        <f>D89*G89</f>
        <v>1.3193727364897117E-6</v>
      </c>
      <c r="J89" s="10"/>
    </row>
    <row r="90" spans="1:10">
      <c r="A90" s="6" t="s">
        <v>20</v>
      </c>
      <c r="B90" s="9">
        <v>191.14588491631176</v>
      </c>
      <c r="C90" s="7">
        <v>193</v>
      </c>
      <c r="D90" s="8">
        <f>(C90-B90)/B90</f>
        <v>9.7000000000000957E-3</v>
      </c>
      <c r="E90" s="25">
        <v>2.8820441715361</v>
      </c>
      <c r="F90" s="9">
        <f>(1+D90)*E90</f>
        <v>2.91</v>
      </c>
      <c r="G90" s="13">
        <f>E90/SUM($E$5:$E$124)</f>
        <v>1.8552668203988946E-3</v>
      </c>
      <c r="H90" s="17">
        <f>D90*G90</f>
        <v>1.7996088157869454E-5</v>
      </c>
      <c r="J90" s="10"/>
    </row>
    <row r="91" spans="1:10">
      <c r="A91" s="6" t="s">
        <v>92</v>
      </c>
      <c r="B91" s="9">
        <v>58.347470312344079</v>
      </c>
      <c r="C91" s="7">
        <v>58.47</v>
      </c>
      <c r="D91" s="8">
        <f>(C91-B91)/B91</f>
        <v>2.0999999999999539E-3</v>
      </c>
      <c r="E91" s="25">
        <v>2.8440275421614611</v>
      </c>
      <c r="F91" s="9">
        <f>(1+D91)*E91</f>
        <v>2.85</v>
      </c>
      <c r="G91" s="13">
        <f>E91/SUM($E$5:$E$124)</f>
        <v>1.8307942631082207E-3</v>
      </c>
      <c r="H91" s="17">
        <f>D91*G91</f>
        <v>3.8446679525271793E-6</v>
      </c>
      <c r="J91" s="10"/>
    </row>
    <row r="92" spans="1:10">
      <c r="A92" s="6" t="s">
        <v>94</v>
      </c>
      <c r="B92" s="9">
        <v>50.467665694458418</v>
      </c>
      <c r="C92" s="7">
        <v>50.18</v>
      </c>
      <c r="D92" s="8">
        <f>(C92-B92)/B92</f>
        <v>-5.7000000000001069E-3</v>
      </c>
      <c r="E92" s="25">
        <v>2.805994166750478</v>
      </c>
      <c r="F92" s="9">
        <f>(1+D92)*E92</f>
        <v>2.79</v>
      </c>
      <c r="G92" s="13">
        <f>E92/SUM($E$5:$E$124)</f>
        <v>1.8063109258420319E-3</v>
      </c>
      <c r="H92" s="17">
        <f>D92*G92</f>
        <v>-1.0295972277299775E-5</v>
      </c>
      <c r="J92" s="10"/>
    </row>
    <row r="93" spans="1:10">
      <c r="A93" s="6" t="s">
        <v>93</v>
      </c>
      <c r="B93" s="9">
        <v>6.7520256076823042</v>
      </c>
      <c r="C93" s="7">
        <v>6.75</v>
      </c>
      <c r="D93" s="8">
        <f>(C93-B93)/B93</f>
        <v>-2.9999999999992695E-4</v>
      </c>
      <c r="E93" s="25">
        <v>2.7908372511753528</v>
      </c>
      <c r="F93" s="9">
        <f>(1+D93)*E93</f>
        <v>2.79</v>
      </c>
      <c r="G93" s="13">
        <f>E93/SUM($E$5:$E$124)</f>
        <v>1.7965539197406545E-3</v>
      </c>
      <c r="H93" s="17">
        <f>D93*G93</f>
        <v>-5.3896617592206509E-7</v>
      </c>
      <c r="J93" s="10"/>
    </row>
    <row r="94" spans="1:10">
      <c r="A94" s="6" t="s">
        <v>95</v>
      </c>
      <c r="B94" s="9">
        <v>12.7896479085164</v>
      </c>
      <c r="C94" s="7">
        <v>12.75</v>
      </c>
      <c r="D94" s="8">
        <f>(C94-B94)/B94</f>
        <v>-3.0999999999999591E-3</v>
      </c>
      <c r="E94" s="25">
        <v>2.6983649312869895</v>
      </c>
      <c r="F94" s="9">
        <f>(1+D94)*E94</f>
        <v>2.69</v>
      </c>
      <c r="G94" s="13">
        <f>E94/SUM($E$5:$E$124)</f>
        <v>1.7370264397011126E-3</v>
      </c>
      <c r="H94" s="17">
        <f>D94*G94</f>
        <v>-5.384781963073378E-6</v>
      </c>
      <c r="J94" s="10"/>
    </row>
    <row r="95" spans="1:10">
      <c r="A95" s="6" t="s">
        <v>1</v>
      </c>
      <c r="B95" s="9">
        <v>59.100449775112452</v>
      </c>
      <c r="C95" s="7">
        <v>59.13</v>
      </c>
      <c r="D95" s="8">
        <f>(C95-B95)/B95</f>
        <v>4.9999999999990764E-4</v>
      </c>
      <c r="E95" s="25">
        <v>2.6486756621689156</v>
      </c>
      <c r="F95" s="9">
        <f>(1+D95)*E95</f>
        <v>2.65</v>
      </c>
      <c r="G95" s="13">
        <f>E95/SUM($E$5:$E$124)</f>
        <v>1.7050398194976132E-3</v>
      </c>
      <c r="H95" s="17">
        <f>D95*G95</f>
        <v>8.5251990974864912E-7</v>
      </c>
      <c r="J95" s="10"/>
    </row>
    <row r="96" spans="1:10">
      <c r="A96" s="6" t="s">
        <v>96</v>
      </c>
      <c r="B96" s="9">
        <v>29.349894821196035</v>
      </c>
      <c r="C96" s="7">
        <v>29.3</v>
      </c>
      <c r="D96" s="8">
        <f>(C96-B96)/B96</f>
        <v>-1.7000000000000233E-3</v>
      </c>
      <c r="E96" s="25">
        <v>2.3239507162175697</v>
      </c>
      <c r="F96" s="9">
        <f>(1+D96)*E96</f>
        <v>2.3199999999999998</v>
      </c>
      <c r="G96" s="13">
        <f>E96/SUM($E$5:$E$124)</f>
        <v>1.4960036694172847E-3</v>
      </c>
      <c r="H96" s="17">
        <f>D96*G96</f>
        <v>-2.543206238009419E-6</v>
      </c>
      <c r="J96" s="10"/>
    </row>
    <row r="97" spans="1:10">
      <c r="A97" s="6" t="s">
        <v>97</v>
      </c>
      <c r="B97" s="9">
        <v>150.00500851447461</v>
      </c>
      <c r="C97" s="7">
        <v>149.75</v>
      </c>
      <c r="D97" s="8">
        <f>(C97-B97)/B97</f>
        <v>-1.7000000000000251E-3</v>
      </c>
      <c r="E97" s="25">
        <v>2.3039166583191424</v>
      </c>
      <c r="F97" s="9">
        <f>(1+D97)*E97</f>
        <v>2.2999999999999998</v>
      </c>
      <c r="G97" s="13">
        <f>E97/SUM($E$5:$E$124)</f>
        <v>1.4831070860602392E-3</v>
      </c>
      <c r="H97" s="17">
        <f>D97*G97</f>
        <v>-2.5212820463024439E-6</v>
      </c>
      <c r="J97" s="10"/>
    </row>
    <row r="98" spans="1:10">
      <c r="A98" s="6" t="s">
        <v>98</v>
      </c>
      <c r="B98" s="9">
        <v>7.6277116864940515</v>
      </c>
      <c r="C98" s="7">
        <v>7.63</v>
      </c>
      <c r="D98" s="8">
        <f>(C98-B98)/B98</f>
        <v>3.0000000000002166E-4</v>
      </c>
      <c r="E98" s="25">
        <v>2.2893132060381887</v>
      </c>
      <c r="F98" s="9">
        <f>(1+D98)*E98</f>
        <v>2.29</v>
      </c>
      <c r="G98" s="13">
        <f>E98/SUM($E$5:$E$124)</f>
        <v>1.4737063625225109E-3</v>
      </c>
      <c r="H98" s="17">
        <f>D98*G98</f>
        <v>4.4211190875678521E-7</v>
      </c>
      <c r="J98" s="10"/>
    </row>
    <row r="99" spans="1:10">
      <c r="A99" s="6" t="s">
        <v>99</v>
      </c>
      <c r="B99" s="9">
        <v>80.688355485022811</v>
      </c>
      <c r="C99" s="7">
        <v>81.349999999999994</v>
      </c>
      <c r="D99" s="8">
        <f>(C99-B99)/B99</f>
        <v>8.1999999999999556E-3</v>
      </c>
      <c r="E99" s="25">
        <v>2.1424320571315216</v>
      </c>
      <c r="F99" s="9">
        <f>(1+D99)*E99</f>
        <v>2.16</v>
      </c>
      <c r="G99" s="13">
        <f>E99/SUM($E$5:$E$124)</f>
        <v>1.3791541260231768E-3</v>
      </c>
      <c r="H99" s="17">
        <f>D99*G99</f>
        <v>1.1309063833389988E-5</v>
      </c>
      <c r="J99" s="10"/>
    </row>
    <row r="100" spans="1:10">
      <c r="A100" s="6" t="s">
        <v>100</v>
      </c>
      <c r="B100" s="9">
        <v>25.500400320256205</v>
      </c>
      <c r="C100" s="7">
        <v>25.48</v>
      </c>
      <c r="D100" s="8">
        <f>(C100-B100)/B100</f>
        <v>-7.999999999999699E-4</v>
      </c>
      <c r="E100" s="25">
        <v>1.9915932746196958</v>
      </c>
      <c r="F100" s="9">
        <f>(1+D100)*E100</f>
        <v>1.99</v>
      </c>
      <c r="G100" s="13">
        <f>E100/SUM($E$5:$E$124)</f>
        <v>1.2820542303354572E-3</v>
      </c>
      <c r="H100" s="17">
        <f>D100*G100</f>
        <v>-1.0256433842683271E-6</v>
      </c>
      <c r="J100" s="10"/>
    </row>
    <row r="101" spans="1:10">
      <c r="A101" s="6" t="s">
        <v>101</v>
      </c>
      <c r="B101" s="9">
        <v>56.41922269957039</v>
      </c>
      <c r="C101" s="7">
        <v>56.47</v>
      </c>
      <c r="D101" s="8">
        <f>(C101-B101)/B101</f>
        <v>8.9999999999991183E-4</v>
      </c>
      <c r="E101" s="25">
        <v>1.9482465780797285</v>
      </c>
      <c r="F101" s="9">
        <f>(1+D101)*E101</f>
        <v>1.95</v>
      </c>
      <c r="G101" s="13">
        <f>E101/SUM($E$5:$E$124)</f>
        <v>1.2541505331406851E-3</v>
      </c>
      <c r="H101" s="17">
        <f>D101*G101</f>
        <v>1.1287354798265061E-6</v>
      </c>
      <c r="J101" s="10"/>
    </row>
    <row r="102" spans="1:10">
      <c r="A102" s="6" t="s">
        <v>102</v>
      </c>
      <c r="B102" s="9">
        <v>15.224534501642935</v>
      </c>
      <c r="C102" s="7">
        <v>15.29</v>
      </c>
      <c r="D102" s="8">
        <f>(C102-B102)/B102</f>
        <v>4.299999999999941E-3</v>
      </c>
      <c r="E102" s="25">
        <v>1.9217365329084934</v>
      </c>
      <c r="F102" s="9">
        <f>(1+D102)*E102</f>
        <v>1.93</v>
      </c>
      <c r="G102" s="13">
        <f>E102/SUM($E$5:$E$124)</f>
        <v>1.2370851433388163E-3</v>
      </c>
      <c r="H102" s="17">
        <f>D102*G102</f>
        <v>5.3194661163568372E-6</v>
      </c>
      <c r="J102" s="10"/>
    </row>
    <row r="103" spans="1:10">
      <c r="A103" s="6" t="s">
        <v>19</v>
      </c>
      <c r="B103" s="9">
        <v>47.605746209098164</v>
      </c>
      <c r="C103" s="7">
        <v>47.72</v>
      </c>
      <c r="D103" s="8">
        <f>(C103-B103)/B103</f>
        <v>2.3999999999999751E-3</v>
      </c>
      <c r="E103" s="25">
        <v>1.8455706304868318</v>
      </c>
      <c r="F103" s="9">
        <f>(1+D103)*E103</f>
        <v>1.85</v>
      </c>
      <c r="G103" s="13">
        <f>E103/SUM($E$5:$E$124)</f>
        <v>1.1880546416538496E-3</v>
      </c>
      <c r="H103" s="17">
        <f>D103*G103</f>
        <v>2.8513311399692095E-6</v>
      </c>
      <c r="J103" s="10"/>
    </row>
    <row r="104" spans="1:10">
      <c r="A104" s="6" t="s">
        <v>103</v>
      </c>
      <c r="B104" s="9">
        <v>18.105709098244905</v>
      </c>
      <c r="C104" s="7">
        <v>17.95</v>
      </c>
      <c r="D104" s="8">
        <f>(C104-B104)/B104</f>
        <v>-8.5999999999999584E-3</v>
      </c>
      <c r="E104" s="25">
        <v>1.6643130925963283</v>
      </c>
      <c r="F104" s="9">
        <f>(1+D104)*E104</f>
        <v>1.65</v>
      </c>
      <c r="G104" s="13">
        <f>E104/SUM($E$5:$E$124)</f>
        <v>1.071373190579416E-3</v>
      </c>
      <c r="H104" s="17">
        <f>D104*G104</f>
        <v>-9.2138094389829338E-6</v>
      </c>
      <c r="J104" s="10"/>
    </row>
    <row r="105" spans="1:10">
      <c r="A105" s="6" t="s">
        <v>104</v>
      </c>
      <c r="B105" s="9">
        <v>4.7637834105927608</v>
      </c>
      <c r="C105" s="7">
        <v>4.83</v>
      </c>
      <c r="D105" s="8">
        <f>(C105-B105)/B105</f>
        <v>1.3899999999999982E-2</v>
      </c>
      <c r="E105" s="25">
        <v>1.5977907091429135</v>
      </c>
      <c r="F105" s="9">
        <f>(1+D105)*E105</f>
        <v>1.62</v>
      </c>
      <c r="G105" s="13">
        <f>E105/SUM($E$5:$E$124)</f>
        <v>1.0285505398879822E-3</v>
      </c>
      <c r="H105" s="17">
        <f>D105*G105</f>
        <v>1.4296852504442934E-5</v>
      </c>
      <c r="J105" s="10"/>
    </row>
    <row r="106" spans="1:10">
      <c r="A106" s="6" t="s">
        <v>105</v>
      </c>
      <c r="B106" s="9">
        <v>84.500251130085388</v>
      </c>
      <c r="C106" s="7">
        <v>84.12</v>
      </c>
      <c r="D106" s="8">
        <f>(C106-B106)/B106</f>
        <v>-4.4999999999999936E-3</v>
      </c>
      <c r="E106" s="25">
        <v>1.5971873430436967</v>
      </c>
      <c r="F106" s="9">
        <f>(1+D106)*E106</f>
        <v>1.59</v>
      </c>
      <c r="G106" s="13">
        <f>E106/SUM($E$5:$E$124)</f>
        <v>1.0281621332440154E-3</v>
      </c>
      <c r="H106" s="17">
        <f>D106*G106</f>
        <v>-4.6267295995980624E-6</v>
      </c>
      <c r="J106" s="10"/>
    </row>
    <row r="107" spans="1:10">
      <c r="A107" s="6" t="s">
        <v>9</v>
      </c>
      <c r="B107" s="9">
        <v>28.994677111579794</v>
      </c>
      <c r="C107" s="7">
        <v>28.87</v>
      </c>
      <c r="D107" s="8">
        <f>(C107-B107)/B107</f>
        <v>-4.2999999999999844E-3</v>
      </c>
      <c r="E107" s="25">
        <v>1.5667369689665562</v>
      </c>
      <c r="F107" s="9">
        <f>(1+D107)*E107</f>
        <v>1.56</v>
      </c>
      <c r="G107" s="13">
        <f>E107/SUM($E$5:$E$124)</f>
        <v>1.0085602238590031E-3</v>
      </c>
      <c r="H107" s="17">
        <f>D107*G107</f>
        <v>-4.3368089625936979E-6</v>
      </c>
      <c r="J107" s="10"/>
    </row>
    <row r="108" spans="1:10">
      <c r="A108" s="6" t="s">
        <v>106</v>
      </c>
      <c r="B108" s="9">
        <v>41.921397379912662</v>
      </c>
      <c r="C108" s="7">
        <v>42.24</v>
      </c>
      <c r="D108" s="8">
        <f>(C108-B108)/B108</f>
        <v>7.6000000000000893E-3</v>
      </c>
      <c r="E108" s="25">
        <v>1.5581579992060341</v>
      </c>
      <c r="F108" s="9">
        <f>(1+D108)*E108</f>
        <v>1.57</v>
      </c>
      <c r="G108" s="13">
        <f>E108/SUM($E$5:$E$124)</f>
        <v>1.0030376582761797E-3</v>
      </c>
      <c r="H108" s="17">
        <f>D108*G108</f>
        <v>7.6230862028990548E-6</v>
      </c>
      <c r="J108" s="10"/>
    </row>
    <row r="109" spans="1:10">
      <c r="A109" s="6" t="s">
        <v>108</v>
      </c>
      <c r="B109" s="9">
        <v>14.19987983176447</v>
      </c>
      <c r="C109" s="7">
        <v>14.18</v>
      </c>
      <c r="D109" s="8">
        <f>(C109-B109)/B109</f>
        <v>-1.3999999999999937E-3</v>
      </c>
      <c r="E109" s="25">
        <v>1.5321450030042059</v>
      </c>
      <c r="F109" s="9">
        <f>(1+D109)*E109</f>
        <v>1.53</v>
      </c>
      <c r="G109" s="13">
        <f>E109/SUM($E$5:$E$124)</f>
        <v>9.8629223527779046E-4</v>
      </c>
      <c r="H109" s="17">
        <f>D109*G109</f>
        <v>-1.3808091293889005E-6</v>
      </c>
      <c r="J109" s="10"/>
    </row>
    <row r="110" spans="1:10">
      <c r="A110" s="6" t="s">
        <v>107</v>
      </c>
      <c r="B110" s="9">
        <v>180.00197804371476</v>
      </c>
      <c r="C110" s="7">
        <v>182</v>
      </c>
      <c r="D110" s="8">
        <f>(C110-B110)/B110</f>
        <v>1.1100000000000049E-2</v>
      </c>
      <c r="E110" s="25">
        <v>1.5230936603698941</v>
      </c>
      <c r="F110" s="9">
        <f>(1+D110)*E110</f>
        <v>1.54</v>
      </c>
      <c r="G110" s="13">
        <f>E110/SUM($E$5:$E$124)</f>
        <v>9.8046558770751723E-4</v>
      </c>
      <c r="H110" s="17">
        <f>D110*G110</f>
        <v>1.0883168023553489E-5</v>
      </c>
      <c r="J110" s="10"/>
    </row>
    <row r="111" spans="1:10">
      <c r="A111" s="6" t="s">
        <v>109</v>
      </c>
      <c r="B111" s="9">
        <v>7.9310002974125116</v>
      </c>
      <c r="C111" s="7">
        <v>8</v>
      </c>
      <c r="D111" s="8">
        <f>(C111-B111)/B111</f>
        <v>8.6999999999999491E-3</v>
      </c>
      <c r="E111" s="25">
        <v>1.4077525527907206</v>
      </c>
      <c r="F111" s="9">
        <f>(1+D111)*E111</f>
        <v>1.4199999999999997</v>
      </c>
      <c r="G111" s="13">
        <f>E111/SUM($E$5:$E$124)</f>
        <v>9.062167153157919E-4</v>
      </c>
      <c r="H111" s="17">
        <f>D111*G111</f>
        <v>7.8840854232473427E-6</v>
      </c>
      <c r="J111" s="10"/>
    </row>
    <row r="112" spans="1:10">
      <c r="A112" s="6" t="s">
        <v>110</v>
      </c>
      <c r="B112" s="9">
        <v>21.130417415618133</v>
      </c>
      <c r="C112" s="7">
        <v>21.16</v>
      </c>
      <c r="D112" s="8">
        <f>(C112-B112)/B112</f>
        <v>1.4000000000000713E-3</v>
      </c>
      <c r="E112" s="25">
        <v>1.348112642300779</v>
      </c>
      <c r="F112" s="9">
        <f>(1+D112)*E112</f>
        <v>1.35</v>
      </c>
      <c r="G112" s="13">
        <f>E112/SUM($E$5:$E$124)</f>
        <v>8.6782453930532685E-4</v>
      </c>
      <c r="H112" s="17">
        <f>D112*G112</f>
        <v>1.2149543550275194E-6</v>
      </c>
      <c r="J112" s="10"/>
    </row>
    <row r="113" spans="1:10">
      <c r="A113" s="6" t="s">
        <v>111</v>
      </c>
      <c r="B113" s="9">
        <v>7.5637818909454717</v>
      </c>
      <c r="C113" s="7">
        <v>7.56</v>
      </c>
      <c r="D113" s="8">
        <f>(C113-B113)/B113</f>
        <v>-4.9999999999991588E-4</v>
      </c>
      <c r="E113" s="25">
        <v>1.3206603301650826</v>
      </c>
      <c r="F113" s="9">
        <f>(1+D113)*E113</f>
        <v>1.32</v>
      </c>
      <c r="G113" s="13">
        <f>E113/SUM($E$5:$E$124)</f>
        <v>8.5015258120294782E-4</v>
      </c>
      <c r="H113" s="17">
        <f>D113*G113</f>
        <v>-4.2507629060140237E-7</v>
      </c>
      <c r="J113" s="10"/>
    </row>
    <row r="114" spans="1:10">
      <c r="A114" s="6" t="s">
        <v>112</v>
      </c>
      <c r="B114" s="9">
        <v>62.5</v>
      </c>
      <c r="C114" s="7">
        <v>64.55</v>
      </c>
      <c r="D114" s="8">
        <f>(C114-B114)/B114</f>
        <v>3.2799999999999954E-2</v>
      </c>
      <c r="E114" s="25">
        <v>1.2199845081332301</v>
      </c>
      <c r="F114" s="9">
        <f>(1+D114)*E114</f>
        <v>1.26</v>
      </c>
      <c r="G114" s="13">
        <f>E114/SUM($E$5:$E$124)</f>
        <v>7.853442364604286E-4</v>
      </c>
      <c r="H114" s="17">
        <f>D114*G114</f>
        <v>2.5759290955902023E-5</v>
      </c>
      <c r="J114" s="10"/>
    </row>
    <row r="115" spans="1:10">
      <c r="A115" s="6" t="s">
        <v>2</v>
      </c>
      <c r="B115" s="9">
        <v>35.60421735604217</v>
      </c>
      <c r="C115" s="7">
        <v>35.119999999999997</v>
      </c>
      <c r="D115" s="8">
        <f>(C115-B115)/B115</f>
        <v>-1.3599999999999978E-2</v>
      </c>
      <c r="E115" s="25">
        <v>1.1962692619626925</v>
      </c>
      <c r="F115" s="9">
        <f>(1+D115)*E115</f>
        <v>1.18</v>
      </c>
      <c r="G115" s="13">
        <f>E115/SUM($E$5:$E$124)</f>
        <v>7.7007795088703999E-4</v>
      </c>
      <c r="H115" s="17">
        <f>D115*G115</f>
        <v>-1.0473060132063728E-5</v>
      </c>
      <c r="J115" s="10"/>
    </row>
    <row r="116" spans="1:10">
      <c r="A116" s="6" t="s">
        <v>113</v>
      </c>
      <c r="B116" s="9">
        <v>27.089567125473771</v>
      </c>
      <c r="C116" s="7">
        <v>27.16</v>
      </c>
      <c r="D116" s="8">
        <f>(C116-B116)/B116</f>
        <v>2.5999999999999144E-3</v>
      </c>
      <c r="E116" s="25">
        <v>1.1370436864153202</v>
      </c>
      <c r="F116" s="9">
        <f>(1+D116)*E116</f>
        <v>1.1399999999999999</v>
      </c>
      <c r="G116" s="13">
        <f>E116/SUM($E$5:$E$124)</f>
        <v>7.3195249593486849E-4</v>
      </c>
      <c r="H116" s="17">
        <f>D116*G116</f>
        <v>1.9030764894305955E-6</v>
      </c>
      <c r="J116" s="10"/>
    </row>
    <row r="117" spans="1:10">
      <c r="A117" s="6" t="s">
        <v>115</v>
      </c>
      <c r="B117" s="9">
        <v>8.622974212618491</v>
      </c>
      <c r="C117" s="7">
        <v>8.4600000000000009</v>
      </c>
      <c r="D117" s="8">
        <f>(C117-B117)/B117</f>
        <v>-1.8900000000000073E-2</v>
      </c>
      <c r="E117" s="25">
        <v>1.0498420140658444</v>
      </c>
      <c r="F117" s="9">
        <f>(1+D117)*E117</f>
        <v>1.03</v>
      </c>
      <c r="G117" s="13">
        <f>E117/SUM($E$5:$E$124)</f>
        <v>6.7581790542751703E-4</v>
      </c>
      <c r="H117" s="17">
        <f>D117*G117</f>
        <v>-1.2772958412580121E-5</v>
      </c>
      <c r="J117" s="10"/>
    </row>
    <row r="118" spans="1:10">
      <c r="A118" s="6" t="s">
        <v>114</v>
      </c>
      <c r="B118" s="9">
        <v>22.81953376205788</v>
      </c>
      <c r="C118" s="7">
        <v>22.71</v>
      </c>
      <c r="D118" s="8">
        <f>(C118-B118)/B118</f>
        <v>-4.8000000000000473E-3</v>
      </c>
      <c r="E118" s="25">
        <v>1.034967845659164</v>
      </c>
      <c r="F118" s="9">
        <f>(1+D118)*E118</f>
        <v>1.03</v>
      </c>
      <c r="G118" s="13">
        <f>E118/SUM($E$5:$E$124)</f>
        <v>6.6624291299732417E-4</v>
      </c>
      <c r="H118" s="17">
        <f>D118*G118</f>
        <v>-3.1979659823871874E-6</v>
      </c>
      <c r="J118" s="10"/>
    </row>
    <row r="119" spans="1:10">
      <c r="A119" s="6" t="s">
        <v>116</v>
      </c>
      <c r="B119" s="9">
        <v>36.280275092195751</v>
      </c>
      <c r="C119" s="7">
        <v>36.4</v>
      </c>
      <c r="D119" s="8">
        <f>(C119-B119)/B119</f>
        <v>3.3000000000000416E-3</v>
      </c>
      <c r="E119" s="25">
        <v>0.84802152895445027</v>
      </c>
      <c r="F119" s="9">
        <f>(1+D119)*E119</f>
        <v>0.85082000000000002</v>
      </c>
      <c r="G119" s="13">
        <f>E119/SUM($E$5:$E$124)</f>
        <v>5.4589940750789253E-4</v>
      </c>
      <c r="H119" s="17">
        <f>D119*G119</f>
        <v>1.801468044776068E-6</v>
      </c>
      <c r="J119" s="10"/>
    </row>
    <row r="120" spans="1:10">
      <c r="A120" s="6" t="s">
        <v>117</v>
      </c>
      <c r="B120" s="9">
        <v>64.50093237805477</v>
      </c>
      <c r="C120" s="7">
        <v>65.72</v>
      </c>
      <c r="D120" s="8">
        <f>(C120-B120)/B120</f>
        <v>1.8899999999999896E-2</v>
      </c>
      <c r="E120" s="25">
        <v>0.69549514181960936</v>
      </c>
      <c r="F120" s="9">
        <f>(1+D120)*E120</f>
        <v>0.70863999999999994</v>
      </c>
      <c r="G120" s="13">
        <f>E120/SUM($E$5:$E$124)</f>
        <v>4.4771314510381452E-4</v>
      </c>
      <c r="H120" s="17">
        <f>D120*G120</f>
        <v>8.4617784424620484E-6</v>
      </c>
      <c r="J120" s="10"/>
    </row>
    <row r="121" spans="1:10">
      <c r="A121" s="6" t="s">
        <v>118</v>
      </c>
      <c r="B121" s="9">
        <v>0.58502726822012885</v>
      </c>
      <c r="C121" s="7">
        <v>0.59</v>
      </c>
      <c r="D121" s="8">
        <f>(C121-B121)/B121</f>
        <v>8.5000000000000422E-3</v>
      </c>
      <c r="E121" s="25">
        <v>0.67964303420922156</v>
      </c>
      <c r="F121" s="9">
        <f>(1+D121)*E121</f>
        <v>0.68541999999999992</v>
      </c>
      <c r="G121" s="13">
        <f>E121/SUM($E$5:$E$124)</f>
        <v>4.3750862097701387E-4</v>
      </c>
      <c r="H121" s="17">
        <f>D121*G121</f>
        <v>3.7188232783046365E-6</v>
      </c>
      <c r="J121" s="10"/>
    </row>
    <row r="122" spans="1:10">
      <c r="A122" s="6" t="s">
        <v>16</v>
      </c>
      <c r="B122" s="9">
        <v>25.699693564862105</v>
      </c>
      <c r="C122" s="7">
        <v>25.16</v>
      </c>
      <c r="D122" s="8">
        <f>(C122-B122)/B122</f>
        <v>-2.1000000000000043E-2</v>
      </c>
      <c r="E122" s="25">
        <v>0.67645556690500508</v>
      </c>
      <c r="F122" s="9">
        <f>(1+D122)*E122</f>
        <v>0.66225000000000001</v>
      </c>
      <c r="G122" s="13">
        <f>E122/SUM($E$5:$E$124)</f>
        <v>4.3545674321989147E-4</v>
      </c>
      <c r="H122" s="17">
        <f>D122*G122</f>
        <v>-9.1445916076177388E-6</v>
      </c>
      <c r="J122" s="10"/>
    </row>
    <row r="123" spans="1:10">
      <c r="A123" s="6" t="s">
        <v>119</v>
      </c>
      <c r="B123" s="9">
        <v>2.0999416682869922</v>
      </c>
      <c r="C123" s="7">
        <v>2.16</v>
      </c>
      <c r="D123" s="8">
        <f>(C123-B123)/B123</f>
        <v>2.8599999999999959E-2</v>
      </c>
      <c r="E123" s="25">
        <v>0.47266187050359715</v>
      </c>
      <c r="F123" s="9">
        <f>(1+D123)*E123</f>
        <v>0.48618</v>
      </c>
      <c r="G123" s="13">
        <f>E123/SUM($E$5:$E$124)</f>
        <v>3.0426802415926075E-4</v>
      </c>
      <c r="H123" s="17">
        <f>D123*G123</f>
        <v>8.702065490954845E-6</v>
      </c>
      <c r="J123" s="10"/>
    </row>
    <row r="124" spans="1:10">
      <c r="A124" s="6" t="s">
        <v>120</v>
      </c>
      <c r="B124" s="9">
        <v>3.7898801056695794</v>
      </c>
      <c r="C124" s="7">
        <v>3.73</v>
      </c>
      <c r="D124" s="8">
        <f>(C124-B124)/B124</f>
        <v>-1.5800000000000029E-2</v>
      </c>
      <c r="E124" s="25">
        <v>0.32505588295061982</v>
      </c>
      <c r="F124" s="9">
        <f>(1+D124)*E124</f>
        <v>0.31992000000000004</v>
      </c>
      <c r="G124" s="13">
        <f>E124/SUM($E$5:$E$124)</f>
        <v>2.0924918513387113E-4</v>
      </c>
      <c r="H124" s="17">
        <f>D124*G124</f>
        <v>-3.3061371251151701E-6</v>
      </c>
      <c r="J124" s="10"/>
    </row>
  </sheetData>
  <sortState ref="A5:H124">
    <sortCondition descending="1" ref="E5"/>
  </sortState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wsList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rocTriSbf">
                <anchor moveWithCells="1" sizeWithCells="1">
                  <from>
                    <xdr:col>5</xdr:col>
                    <xdr:colOff>127000</xdr:colOff>
                    <xdr:row>0</xdr:row>
                    <xdr:rowOff>25400</xdr:rowOff>
                  </from>
                  <to>
                    <xdr:col>6</xdr:col>
                    <xdr:colOff>609600</xdr:colOff>
                    <xdr:row>2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wsRendements">
                <anchor moveWithCells="1" sizeWithCells="1">
                  <from>
                    <xdr:col>4</xdr:col>
                    <xdr:colOff>12700</xdr:colOff>
                    <xdr:row>0</xdr:row>
                    <xdr:rowOff>12700</xdr:rowOff>
                  </from>
                  <to>
                    <xdr:col>5</xdr:col>
                    <xdr:colOff>12700</xdr:colOff>
                    <xdr:row>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enableFormatConditionsCalculation="0">
    <tabColor theme="2" tint="-0.499984740745262"/>
  </sheetPr>
  <dimension ref="A1:J124"/>
  <sheetViews>
    <sheetView workbookViewId="0">
      <selection activeCell="A20" sqref="A20"/>
    </sheetView>
  </sheetViews>
  <sheetFormatPr baseColWidth="10" defaultRowHeight="14" x14ac:dyDescent="0"/>
  <cols>
    <col min="1" max="1" width="32.5" customWidth="1"/>
    <col min="2" max="2" width="10.5" bestFit="1" customWidth="1"/>
    <col min="3" max="3" width="14.83203125" bestFit="1" customWidth="1"/>
    <col min="4" max="4" width="20.5" style="3" customWidth="1"/>
    <col min="5" max="5" width="22" style="3" customWidth="1"/>
    <col min="6" max="6" width="20.6640625" customWidth="1"/>
    <col min="7" max="7" width="12.83203125" customWidth="1"/>
    <col min="8" max="8" width="15" customWidth="1"/>
  </cols>
  <sheetData>
    <row r="1" spans="1:10" ht="23">
      <c r="A1" s="2" t="s">
        <v>122</v>
      </c>
      <c r="E1" s="12"/>
      <c r="F1" t="s">
        <v>138</v>
      </c>
      <c r="I1" s="10"/>
    </row>
    <row r="2" spans="1:10" ht="23">
      <c r="A2" s="2" t="s">
        <v>123</v>
      </c>
    </row>
    <row r="4" spans="1:10" ht="28">
      <c r="A4" s="4" t="s">
        <v>121</v>
      </c>
      <c r="B4" s="5" t="s">
        <v>126</v>
      </c>
      <c r="C4" s="5" t="s">
        <v>127</v>
      </c>
      <c r="D4" s="5" t="s">
        <v>135</v>
      </c>
      <c r="E4" s="5" t="s">
        <v>133</v>
      </c>
      <c r="F4" s="5" t="s">
        <v>134</v>
      </c>
      <c r="G4" s="5" t="s">
        <v>124</v>
      </c>
      <c r="H4" s="5" t="s">
        <v>125</v>
      </c>
      <c r="I4" s="11"/>
    </row>
    <row r="5" spans="1:10">
      <c r="A5" s="6" t="s">
        <v>60</v>
      </c>
      <c r="B5" s="9">
        <v>36.670651524208012</v>
      </c>
      <c r="C5" s="7">
        <v>36.81</v>
      </c>
      <c r="D5" s="8">
        <f>(C5-B5)/B5</f>
        <v>3.8000000000000078E-3</v>
      </c>
      <c r="E5" s="25">
        <v>8.4379358437935856</v>
      </c>
      <c r="F5" s="9">
        <f>(1+D5)*E5</f>
        <v>8.4700000000000006</v>
      </c>
      <c r="G5" s="13">
        <f t="shared" ref="G5:G36" si="0">E5/SUM(Capi_DP)</f>
        <v>5.4317774023918009E-3</v>
      </c>
      <c r="H5" s="17">
        <f>G5*D5</f>
        <v>2.0640754129088887E-5</v>
      </c>
      <c r="J5" s="10"/>
    </row>
    <row r="6" spans="1:10">
      <c r="A6" s="6" t="s">
        <v>54</v>
      </c>
      <c r="B6" s="9">
        <v>100</v>
      </c>
      <c r="C6" s="7">
        <v>98.9</v>
      </c>
      <c r="D6" s="8">
        <f t="shared" ref="D6:D69" si="1">(C6-B6)/B6</f>
        <v>-1.0999999999999944E-2</v>
      </c>
      <c r="E6" s="25">
        <v>9.8988877654196141</v>
      </c>
      <c r="F6" s="9">
        <f t="shared" ref="F6:F69" si="2">(1+D6)*E6</f>
        <v>9.7899999999999991</v>
      </c>
      <c r="G6" s="13">
        <f t="shared" si="0"/>
        <v>6.3722403047858792E-3</v>
      </c>
      <c r="H6" s="17">
        <f t="shared" ref="H6:H69" si="3">G6*D6</f>
        <v>-7.0094643352644308E-5</v>
      </c>
      <c r="J6" s="10"/>
    </row>
    <row r="7" spans="1:10">
      <c r="A7" s="6" t="s">
        <v>98</v>
      </c>
      <c r="B7" s="9">
        <v>7.6277116864940515</v>
      </c>
      <c r="C7" s="7">
        <v>7.63</v>
      </c>
      <c r="D7" s="8">
        <f t="shared" si="1"/>
        <v>3.0000000000002166E-4</v>
      </c>
      <c r="E7" s="25">
        <v>2.2893132060381887</v>
      </c>
      <c r="F7" s="9">
        <f t="shared" si="2"/>
        <v>2.29</v>
      </c>
      <c r="G7" s="13">
        <f t="shared" si="0"/>
        <v>1.4737063625225109E-3</v>
      </c>
      <c r="H7" s="17">
        <f t="shared" si="3"/>
        <v>4.4211190875678521E-7</v>
      </c>
      <c r="J7" s="10"/>
    </row>
    <row r="8" spans="1:10">
      <c r="A8" s="6" t="s">
        <v>4</v>
      </c>
      <c r="B8" s="9">
        <v>100.45045045045045</v>
      </c>
      <c r="C8" s="7">
        <v>100.35</v>
      </c>
      <c r="D8" s="8">
        <f t="shared" si="1"/>
        <v>-1.0000000000000198E-3</v>
      </c>
      <c r="E8" s="25">
        <v>34.62462462462463</v>
      </c>
      <c r="F8" s="9">
        <f t="shared" si="2"/>
        <v>34.590000000000003</v>
      </c>
      <c r="G8" s="13">
        <f t="shared" si="0"/>
        <v>2.2289012038491571E-2</v>
      </c>
      <c r="H8" s="17">
        <f t="shared" si="3"/>
        <v>-2.2289012038492012E-5</v>
      </c>
      <c r="J8" s="10"/>
    </row>
    <row r="9" spans="1:10">
      <c r="A9" s="6" t="s">
        <v>31</v>
      </c>
      <c r="B9" s="9">
        <v>49.578397912065853</v>
      </c>
      <c r="C9" s="7">
        <v>49.39</v>
      </c>
      <c r="D9" s="8">
        <f t="shared" si="1"/>
        <v>-3.8000000000000421E-3</v>
      </c>
      <c r="E9" s="25">
        <v>38.897811684400722</v>
      </c>
      <c r="F9" s="9">
        <f t="shared" si="2"/>
        <v>38.75</v>
      </c>
      <c r="G9" s="13">
        <f t="shared" si="0"/>
        <v>2.5039803385709197E-2</v>
      </c>
      <c r="H9" s="17">
        <f t="shared" si="3"/>
        <v>-9.5151252865696004E-5</v>
      </c>
      <c r="J9" s="10"/>
    </row>
    <row r="10" spans="1:10">
      <c r="A10" s="6" t="s">
        <v>62</v>
      </c>
      <c r="B10" s="9">
        <v>2.7758970886932972</v>
      </c>
      <c r="C10" s="7">
        <v>2.87</v>
      </c>
      <c r="D10" s="8">
        <f t="shared" si="1"/>
        <v>3.3900000000000041E-2</v>
      </c>
      <c r="E10" s="25">
        <v>7.7957249250411067</v>
      </c>
      <c r="F10" s="9">
        <f t="shared" si="2"/>
        <v>8.06</v>
      </c>
      <c r="G10" s="13">
        <f t="shared" si="0"/>
        <v>5.0183650678319452E-3</v>
      </c>
      <c r="H10" s="17">
        <f t="shared" si="3"/>
        <v>1.7012257579950314E-4</v>
      </c>
      <c r="J10" s="10"/>
    </row>
    <row r="11" spans="1:10">
      <c r="A11" s="6" t="s">
        <v>12</v>
      </c>
      <c r="B11" s="9">
        <v>28.235530546623796</v>
      </c>
      <c r="C11" s="7">
        <v>28.1</v>
      </c>
      <c r="D11" s="8">
        <f t="shared" si="1"/>
        <v>-4.8000000000000057E-3</v>
      </c>
      <c r="E11" s="25">
        <v>8.7319131832797421</v>
      </c>
      <c r="F11" s="9">
        <f t="shared" si="2"/>
        <v>8.69</v>
      </c>
      <c r="G11" s="13">
        <f t="shared" si="0"/>
        <v>5.6210203048026658E-3</v>
      </c>
      <c r="H11" s="17">
        <f t="shared" si="3"/>
        <v>-2.6980897463052827E-5</v>
      </c>
      <c r="J11" s="10"/>
    </row>
    <row r="12" spans="1:10">
      <c r="A12" s="6" t="s">
        <v>2</v>
      </c>
      <c r="B12" s="9">
        <v>35.60421735604217</v>
      </c>
      <c r="C12" s="7">
        <v>35.119999999999997</v>
      </c>
      <c r="D12" s="8">
        <f t="shared" si="1"/>
        <v>-1.3599999999999978E-2</v>
      </c>
      <c r="E12" s="25">
        <v>1.1962692619626925</v>
      </c>
      <c r="F12" s="9">
        <f t="shared" si="2"/>
        <v>1.18</v>
      </c>
      <c r="G12" s="13">
        <f t="shared" si="0"/>
        <v>7.7007795088703999E-4</v>
      </c>
      <c r="H12" s="17">
        <f t="shared" si="3"/>
        <v>-1.0473060132063728E-5</v>
      </c>
      <c r="J12" s="10"/>
    </row>
    <row r="13" spans="1:10">
      <c r="A13" s="6" t="s">
        <v>111</v>
      </c>
      <c r="B13" s="9">
        <v>7.5637818909454717</v>
      </c>
      <c r="C13" s="7">
        <v>7.56</v>
      </c>
      <c r="D13" s="8">
        <f t="shared" si="1"/>
        <v>-4.9999999999991588E-4</v>
      </c>
      <c r="E13" s="25">
        <v>1.3206603301650826</v>
      </c>
      <c r="F13" s="9">
        <f t="shared" si="2"/>
        <v>1.32</v>
      </c>
      <c r="G13" s="13">
        <f t="shared" si="0"/>
        <v>8.5015258120294782E-4</v>
      </c>
      <c r="H13" s="17">
        <f t="shared" si="3"/>
        <v>-4.2507629060140237E-7</v>
      </c>
      <c r="J13" s="10"/>
    </row>
    <row r="14" spans="1:10">
      <c r="A14" s="6" t="s">
        <v>100</v>
      </c>
      <c r="B14" s="9">
        <v>25.500400320256205</v>
      </c>
      <c r="C14" s="7">
        <v>25.48</v>
      </c>
      <c r="D14" s="8">
        <f t="shared" si="1"/>
        <v>-7.999999999999699E-4</v>
      </c>
      <c r="E14" s="25">
        <v>1.9915932746196958</v>
      </c>
      <c r="F14" s="9">
        <f t="shared" si="2"/>
        <v>1.99</v>
      </c>
      <c r="G14" s="13">
        <f t="shared" si="0"/>
        <v>1.2820542303354572E-3</v>
      </c>
      <c r="H14" s="17">
        <f t="shared" si="3"/>
        <v>-1.0256433842683271E-6</v>
      </c>
      <c r="J14" s="10"/>
    </row>
    <row r="15" spans="1:10">
      <c r="A15" s="6" t="s">
        <v>44</v>
      </c>
      <c r="B15" s="9">
        <v>9.9761999206664029</v>
      </c>
      <c r="C15" s="7">
        <v>10.06</v>
      </c>
      <c r="D15" s="8">
        <f t="shared" si="1"/>
        <v>8.3999999999999787E-3</v>
      </c>
      <c r="E15" s="25">
        <v>16.610472034906785</v>
      </c>
      <c r="F15" s="9">
        <f t="shared" si="2"/>
        <v>16.75</v>
      </c>
      <c r="G15" s="13">
        <f t="shared" si="0"/>
        <v>1.0692708301240642E-2</v>
      </c>
      <c r="H15" s="17">
        <f t="shared" si="3"/>
        <v>8.9818749730421164E-5</v>
      </c>
      <c r="J15" s="10"/>
    </row>
    <row r="16" spans="1:10">
      <c r="A16" s="6" t="s">
        <v>81</v>
      </c>
      <c r="B16" s="9">
        <v>9.8003629764065341</v>
      </c>
      <c r="C16" s="7">
        <v>9.7200000000000006</v>
      </c>
      <c r="D16" s="8">
        <f t="shared" si="1"/>
        <v>-8.1999999999999868E-3</v>
      </c>
      <c r="E16" s="25">
        <v>3.7507562008469453</v>
      </c>
      <c r="F16" s="9">
        <f t="shared" si="2"/>
        <v>3.72</v>
      </c>
      <c r="G16" s="13">
        <f t="shared" si="0"/>
        <v>2.4144853849092322E-3</v>
      </c>
      <c r="H16" s="17">
        <f t="shared" si="3"/>
        <v>-1.9798780156255671E-5</v>
      </c>
      <c r="J16" s="10"/>
    </row>
    <row r="17" spans="1:10">
      <c r="A17" s="6" t="s">
        <v>87</v>
      </c>
      <c r="B17" s="9">
        <v>51.009120900446341</v>
      </c>
      <c r="C17" s="7">
        <v>52.57</v>
      </c>
      <c r="D17" s="8">
        <f t="shared" si="1"/>
        <v>3.0600000000000026E-2</v>
      </c>
      <c r="E17" s="25">
        <v>3.2505336697069671</v>
      </c>
      <c r="F17" s="9">
        <f t="shared" si="2"/>
        <v>3.35</v>
      </c>
      <c r="G17" s="13">
        <f t="shared" si="0"/>
        <v>2.0924756551467228E-3</v>
      </c>
      <c r="H17" s="17">
        <f t="shared" si="3"/>
        <v>6.4029755047489775E-5</v>
      </c>
      <c r="J17" s="10"/>
    </row>
    <row r="18" spans="1:10">
      <c r="A18" s="6" t="s">
        <v>70</v>
      </c>
      <c r="B18" s="9">
        <v>57.371440072456473</v>
      </c>
      <c r="C18" s="7">
        <v>57.01</v>
      </c>
      <c r="D18" s="8">
        <f t="shared" si="1"/>
        <v>-6.2999999999999792E-3</v>
      </c>
      <c r="E18" s="25">
        <v>5.796518063801952</v>
      </c>
      <c r="F18" s="9">
        <f t="shared" si="2"/>
        <v>5.76</v>
      </c>
      <c r="G18" s="13">
        <f t="shared" si="0"/>
        <v>3.7314097208589227E-3</v>
      </c>
      <c r="H18" s="17">
        <f t="shared" si="3"/>
        <v>-2.3507881241411136E-5</v>
      </c>
      <c r="J18" s="10"/>
    </row>
    <row r="19" spans="1:10">
      <c r="A19" s="6" t="s">
        <v>29</v>
      </c>
      <c r="B19" s="9">
        <v>19.124102154828414</v>
      </c>
      <c r="C19" s="7">
        <v>19.170000000000002</v>
      </c>
      <c r="D19" s="8">
        <f t="shared" si="1"/>
        <v>2.399999999999985E-3</v>
      </c>
      <c r="E19" s="25">
        <v>46.318834796488431</v>
      </c>
      <c r="F19" s="9">
        <f t="shared" si="2"/>
        <v>46.43</v>
      </c>
      <c r="G19" s="13">
        <f t="shared" si="0"/>
        <v>2.9816960547020672E-2</v>
      </c>
      <c r="H19" s="17">
        <f t="shared" si="3"/>
        <v>7.1560705312849167E-5</v>
      </c>
      <c r="J19" s="10"/>
    </row>
    <row r="20" spans="1:10">
      <c r="A20" s="6" t="s">
        <v>73</v>
      </c>
      <c r="B20" s="9">
        <v>105.00196540880502</v>
      </c>
      <c r="C20" s="7">
        <v>106.85</v>
      </c>
      <c r="D20" s="8">
        <f t="shared" si="1"/>
        <v>1.7600000000000053E-2</v>
      </c>
      <c r="E20" s="25">
        <v>5.0019654088050309</v>
      </c>
      <c r="F20" s="9">
        <f t="shared" si="2"/>
        <v>5.09</v>
      </c>
      <c r="G20" s="13">
        <f t="shared" si="0"/>
        <v>3.2199299897589118E-3</v>
      </c>
      <c r="H20" s="17">
        <f t="shared" si="3"/>
        <v>5.6670767819757019E-5</v>
      </c>
      <c r="J20" s="10"/>
    </row>
    <row r="21" spans="1:10">
      <c r="A21" s="6" t="s">
        <v>86</v>
      </c>
      <c r="B21" s="9">
        <v>86.196443007275661</v>
      </c>
      <c r="C21" s="7">
        <v>85.3</v>
      </c>
      <c r="D21" s="8">
        <f t="shared" si="1"/>
        <v>-1.0399999999999968E-2</v>
      </c>
      <c r="E21" s="25">
        <v>3.4054163298302345</v>
      </c>
      <c r="F21" s="9">
        <f t="shared" si="2"/>
        <v>3.37</v>
      </c>
      <c r="G21" s="13">
        <f t="shared" si="0"/>
        <v>2.1921787281321253E-3</v>
      </c>
      <c r="H21" s="17">
        <f t="shared" si="3"/>
        <v>-2.2798658772574032E-5</v>
      </c>
      <c r="J21" s="10"/>
    </row>
    <row r="22" spans="1:10">
      <c r="A22" s="6" t="s">
        <v>27</v>
      </c>
      <c r="B22" s="9">
        <v>51.119628807746622</v>
      </c>
      <c r="C22" s="7">
        <v>50.68</v>
      </c>
      <c r="D22" s="8">
        <f t="shared" si="1"/>
        <v>-8.6000000000000278E-3</v>
      </c>
      <c r="E22" s="25">
        <v>63.707887835384305</v>
      </c>
      <c r="F22" s="9">
        <f t="shared" si="2"/>
        <v>63.16</v>
      </c>
      <c r="G22" s="13">
        <f t="shared" si="0"/>
        <v>4.1010867101209644E-2</v>
      </c>
      <c r="H22" s="17">
        <f t="shared" si="3"/>
        <v>-3.526934570704041E-4</v>
      </c>
      <c r="J22" s="10"/>
    </row>
    <row r="23" spans="1:10">
      <c r="A23" s="6" t="s">
        <v>52</v>
      </c>
      <c r="B23" s="9">
        <v>391.7057590577902</v>
      </c>
      <c r="C23" s="7">
        <v>392.45</v>
      </c>
      <c r="D23" s="8">
        <f t="shared" si="1"/>
        <v>1.899999999999959E-3</v>
      </c>
      <c r="E23" s="25">
        <v>10.739594769937119</v>
      </c>
      <c r="F23" s="9">
        <f t="shared" si="2"/>
        <v>10.76</v>
      </c>
      <c r="G23" s="13">
        <f t="shared" si="0"/>
        <v>6.9134311118396611E-3</v>
      </c>
      <c r="H23" s="17">
        <f t="shared" si="3"/>
        <v>1.3135519112495073E-5</v>
      </c>
      <c r="J23" s="10"/>
    </row>
    <row r="24" spans="1:10">
      <c r="A24" s="6" t="s">
        <v>7</v>
      </c>
      <c r="B24" s="9">
        <v>29.924585218702866</v>
      </c>
      <c r="C24" s="7">
        <v>29.76</v>
      </c>
      <c r="D24" s="8">
        <f t="shared" si="1"/>
        <v>-5.4999999999999563E-3</v>
      </c>
      <c r="E24" s="25">
        <v>10.04524886877828</v>
      </c>
      <c r="F24" s="9">
        <f t="shared" si="2"/>
        <v>9.99</v>
      </c>
      <c r="G24" s="13">
        <f t="shared" si="0"/>
        <v>6.4664577708261652E-3</v>
      </c>
      <c r="H24" s="17">
        <f t="shared" si="3"/>
        <v>-3.5565517739543623E-5</v>
      </c>
      <c r="J24" s="10"/>
    </row>
    <row r="25" spans="1:10">
      <c r="A25" s="6" t="s">
        <v>59</v>
      </c>
      <c r="B25" s="9">
        <v>19.269596199524941</v>
      </c>
      <c r="C25" s="7">
        <v>19.47</v>
      </c>
      <c r="D25" s="8">
        <f t="shared" si="1"/>
        <v>1.0399999999999946E-2</v>
      </c>
      <c r="E25" s="25">
        <v>8.5114806017418836</v>
      </c>
      <c r="F25" s="9">
        <f t="shared" si="2"/>
        <v>8.6</v>
      </c>
      <c r="G25" s="13">
        <f t="shared" si="0"/>
        <v>5.4791205869908844E-3</v>
      </c>
      <c r="H25" s="17">
        <f t="shared" si="3"/>
        <v>5.6982854104704901E-5</v>
      </c>
      <c r="J25" s="10"/>
    </row>
    <row r="26" spans="1:10">
      <c r="A26" s="6" t="s">
        <v>56</v>
      </c>
      <c r="B26" s="9">
        <v>58.500895878956804</v>
      </c>
      <c r="C26" s="7">
        <v>58.77</v>
      </c>
      <c r="D26" s="8">
        <f t="shared" si="1"/>
        <v>4.5999999999999609E-3</v>
      </c>
      <c r="E26" s="25">
        <v>9.2773243081823615</v>
      </c>
      <c r="F26" s="9">
        <f t="shared" si="2"/>
        <v>9.32</v>
      </c>
      <c r="G26" s="13">
        <f t="shared" si="0"/>
        <v>5.9721194217079226E-3</v>
      </c>
      <c r="H26" s="17">
        <f t="shared" si="3"/>
        <v>2.7471749339856209E-5</v>
      </c>
      <c r="J26" s="10"/>
    </row>
    <row r="27" spans="1:10">
      <c r="A27" s="6" t="s">
        <v>42</v>
      </c>
      <c r="B27" s="9">
        <v>25.526157546602523</v>
      </c>
      <c r="C27" s="7">
        <v>25.47</v>
      </c>
      <c r="D27" s="8">
        <f t="shared" si="1"/>
        <v>-2.1999999999999364E-3</v>
      </c>
      <c r="E27" s="25">
        <v>18.761274804570053</v>
      </c>
      <c r="F27" s="9">
        <f t="shared" si="2"/>
        <v>18.72</v>
      </c>
      <c r="G27" s="13">
        <f t="shared" si="0"/>
        <v>1.2077250930804683E-2</v>
      </c>
      <c r="H27" s="17">
        <f t="shared" si="3"/>
        <v>-2.6569952047769534E-5</v>
      </c>
      <c r="J27" s="10"/>
    </row>
    <row r="28" spans="1:10">
      <c r="A28" s="6" t="s">
        <v>58</v>
      </c>
      <c r="B28" s="9">
        <v>80.998970133882608</v>
      </c>
      <c r="C28" s="7">
        <v>78.650000000000006</v>
      </c>
      <c r="D28" s="8">
        <f t="shared" si="1"/>
        <v>-2.9000000000000081E-2</v>
      </c>
      <c r="E28" s="25">
        <v>9.1658084449021633</v>
      </c>
      <c r="F28" s="9">
        <f t="shared" si="2"/>
        <v>8.8999999999999986</v>
      </c>
      <c r="G28" s="13">
        <f t="shared" si="0"/>
        <v>5.9003329851448705E-3</v>
      </c>
      <c r="H28" s="17">
        <f t="shared" si="3"/>
        <v>-1.7110965656920172E-4</v>
      </c>
      <c r="J28" s="10"/>
    </row>
    <row r="29" spans="1:10">
      <c r="A29" s="6" t="s">
        <v>109</v>
      </c>
      <c r="B29" s="9">
        <v>7.9310002974125116</v>
      </c>
      <c r="C29" s="7">
        <v>8</v>
      </c>
      <c r="D29" s="8">
        <f t="shared" si="1"/>
        <v>8.6999999999999491E-3</v>
      </c>
      <c r="E29" s="25">
        <v>1.4077525527907206</v>
      </c>
      <c r="F29" s="9">
        <f t="shared" si="2"/>
        <v>1.4199999999999997</v>
      </c>
      <c r="G29" s="13">
        <f t="shared" si="0"/>
        <v>9.062167153157919E-4</v>
      </c>
      <c r="H29" s="17">
        <f t="shared" si="3"/>
        <v>7.8840854232473427E-6</v>
      </c>
      <c r="J29" s="10"/>
    </row>
    <row r="30" spans="1:10">
      <c r="A30" s="6" t="s">
        <v>14</v>
      </c>
      <c r="B30" s="9">
        <v>14.595075645209135</v>
      </c>
      <c r="C30" s="7">
        <v>14.76</v>
      </c>
      <c r="D30" s="8">
        <f t="shared" si="1"/>
        <v>1.1300000000000074E-2</v>
      </c>
      <c r="E30" s="25">
        <v>10.016810046474834</v>
      </c>
      <c r="F30" s="9">
        <f t="shared" si="2"/>
        <v>10.130000000000001</v>
      </c>
      <c r="G30" s="13">
        <f t="shared" si="0"/>
        <v>6.4481507636151405E-3</v>
      </c>
      <c r="H30" s="17">
        <f t="shared" si="3"/>
        <v>7.2864103628851565E-5</v>
      </c>
      <c r="J30" s="10"/>
    </row>
    <row r="31" spans="1:10">
      <c r="A31" s="6" t="s">
        <v>34</v>
      </c>
      <c r="B31" s="9">
        <v>11.124570967090651</v>
      </c>
      <c r="C31" s="7">
        <v>11.02</v>
      </c>
      <c r="D31" s="8">
        <f t="shared" si="1"/>
        <v>-9.3999999999999743E-3</v>
      </c>
      <c r="E31" s="25">
        <v>28.659398344437715</v>
      </c>
      <c r="F31" s="9">
        <f t="shared" si="2"/>
        <v>28.39</v>
      </c>
      <c r="G31" s="13">
        <f t="shared" si="0"/>
        <v>1.8448999278415219E-2</v>
      </c>
      <c r="H31" s="17">
        <f t="shared" si="3"/>
        <v>-1.7342059321710259E-4</v>
      </c>
      <c r="J31" s="10"/>
    </row>
    <row r="32" spans="1:10">
      <c r="A32" s="6" t="s">
        <v>18</v>
      </c>
      <c r="B32" s="9">
        <v>56.132027859089533</v>
      </c>
      <c r="C32" s="7">
        <v>55.61</v>
      </c>
      <c r="D32" s="8">
        <f t="shared" si="1"/>
        <v>-9.3000000000000114E-3</v>
      </c>
      <c r="E32" s="25">
        <v>36.136065408297156</v>
      </c>
      <c r="F32" s="9">
        <f t="shared" si="2"/>
        <v>35.799999999999997</v>
      </c>
      <c r="G32" s="13">
        <f t="shared" si="0"/>
        <v>2.3261976285410373E-2</v>
      </c>
      <c r="H32" s="17">
        <f t="shared" si="3"/>
        <v>-2.1633637945431673E-4</v>
      </c>
      <c r="J32" s="10"/>
    </row>
    <row r="33" spans="1:10">
      <c r="A33" s="6" t="s">
        <v>47</v>
      </c>
      <c r="B33" s="9">
        <v>52.231652521218173</v>
      </c>
      <c r="C33" s="7">
        <v>52.31</v>
      </c>
      <c r="D33" s="8">
        <f t="shared" si="1"/>
        <v>1.500000000000038E-3</v>
      </c>
      <c r="E33" s="25">
        <v>13.359960059910135</v>
      </c>
      <c r="F33" s="9">
        <f t="shared" si="2"/>
        <v>13.38</v>
      </c>
      <c r="G33" s="13">
        <f t="shared" si="0"/>
        <v>8.6002466116939704E-3</v>
      </c>
      <c r="H33" s="17">
        <f t="shared" si="3"/>
        <v>1.2900369917541282E-5</v>
      </c>
      <c r="J33" s="10"/>
    </row>
    <row r="34" spans="1:10">
      <c r="A34" s="6" t="s">
        <v>72</v>
      </c>
      <c r="B34" s="9">
        <v>23.290406309274232</v>
      </c>
      <c r="C34" s="7">
        <v>23.33</v>
      </c>
      <c r="D34" s="8">
        <f t="shared" si="1"/>
        <v>1.7000000000000066E-3</v>
      </c>
      <c r="E34" s="25">
        <v>5.3309374064091042</v>
      </c>
      <c r="F34" s="9">
        <f t="shared" si="2"/>
        <v>5.34</v>
      </c>
      <c r="G34" s="13">
        <f t="shared" si="0"/>
        <v>3.4317001069635632E-3</v>
      </c>
      <c r="H34" s="17">
        <f t="shared" si="3"/>
        <v>5.8338901818380798E-6</v>
      </c>
      <c r="J34" s="10"/>
    </row>
    <row r="35" spans="1:10">
      <c r="A35" s="6" t="s">
        <v>30</v>
      </c>
      <c r="B35" s="9">
        <v>23.474131961618362</v>
      </c>
      <c r="C35" s="7">
        <v>23.73</v>
      </c>
      <c r="D35" s="8">
        <f t="shared" si="1"/>
        <v>1.0899999999999941E-2</v>
      </c>
      <c r="E35" s="25">
        <v>43.664061727173809</v>
      </c>
      <c r="F35" s="9">
        <f t="shared" si="2"/>
        <v>44.14</v>
      </c>
      <c r="G35" s="13">
        <f t="shared" si="0"/>
        <v>2.8107995625583394E-2</v>
      </c>
      <c r="H35" s="17">
        <f t="shared" si="3"/>
        <v>3.0637715231885733E-4</v>
      </c>
      <c r="J35" s="10"/>
    </row>
    <row r="36" spans="1:10">
      <c r="A36" s="6" t="s">
        <v>82</v>
      </c>
      <c r="B36" s="9">
        <v>40.608045859351009</v>
      </c>
      <c r="C36" s="7">
        <v>39.67</v>
      </c>
      <c r="D36" s="8">
        <f t="shared" si="1"/>
        <v>-2.3099999999999968E-2</v>
      </c>
      <c r="E36" s="25">
        <v>3.7465451939809604</v>
      </c>
      <c r="F36" s="9">
        <f t="shared" si="2"/>
        <v>3.66</v>
      </c>
      <c r="G36" s="13">
        <f t="shared" si="0"/>
        <v>2.4117746210021093E-3</v>
      </c>
      <c r="H36" s="17">
        <f t="shared" si="3"/>
        <v>-5.5711993745148645E-5</v>
      </c>
      <c r="J36" s="10"/>
    </row>
    <row r="37" spans="1:10">
      <c r="A37" s="6" t="s">
        <v>99</v>
      </c>
      <c r="B37" s="9">
        <v>80.688355485022811</v>
      </c>
      <c r="C37" s="7">
        <v>81.349999999999994</v>
      </c>
      <c r="D37" s="8">
        <f t="shared" si="1"/>
        <v>8.1999999999999556E-3</v>
      </c>
      <c r="E37" s="25">
        <v>2.1424320571315216</v>
      </c>
      <c r="F37" s="9">
        <f t="shared" si="2"/>
        <v>2.16</v>
      </c>
      <c r="G37" s="13">
        <f t="shared" ref="G37:G68" si="4">E37/SUM(Capi_DP)</f>
        <v>1.3791541260231768E-3</v>
      </c>
      <c r="H37" s="17">
        <f t="shared" si="3"/>
        <v>1.1309063833389988E-5</v>
      </c>
      <c r="J37" s="10"/>
    </row>
    <row r="38" spans="1:10">
      <c r="A38" s="6" t="s">
        <v>41</v>
      </c>
      <c r="B38" s="9">
        <v>88.800813008130078</v>
      </c>
      <c r="C38" s="7">
        <v>87.38</v>
      </c>
      <c r="D38" s="8">
        <f t="shared" si="1"/>
        <v>-1.6000000000000011E-2</v>
      </c>
      <c r="E38" s="25">
        <v>19.105691056910569</v>
      </c>
      <c r="F38" s="9">
        <f t="shared" si="2"/>
        <v>18.8</v>
      </c>
      <c r="G38" s="13">
        <f t="shared" si="4"/>
        <v>1.2298963023799051E-2</v>
      </c>
      <c r="H38" s="17">
        <f t="shared" si="3"/>
        <v>-1.9678340838078493E-4</v>
      </c>
      <c r="J38" s="10"/>
    </row>
    <row r="39" spans="1:10">
      <c r="A39" s="6" t="s">
        <v>84</v>
      </c>
      <c r="B39" s="9">
        <v>79.539106145251409</v>
      </c>
      <c r="C39" s="7">
        <v>79.73</v>
      </c>
      <c r="D39" s="8">
        <f t="shared" si="1"/>
        <v>2.3999999999998888E-3</v>
      </c>
      <c r="E39" s="25">
        <v>3.6113328012769355</v>
      </c>
      <c r="F39" s="9">
        <f t="shared" si="2"/>
        <v>3.62</v>
      </c>
      <c r="G39" s="13">
        <f t="shared" si="4"/>
        <v>2.3247339474523976E-3</v>
      </c>
      <c r="H39" s="17">
        <f t="shared" si="3"/>
        <v>5.5793614738854957E-6</v>
      </c>
      <c r="J39" s="10"/>
    </row>
    <row r="40" spans="1:10">
      <c r="A40" s="6" t="s">
        <v>6</v>
      </c>
      <c r="B40" s="9">
        <v>55.599154844551762</v>
      </c>
      <c r="C40" s="7">
        <v>55.26</v>
      </c>
      <c r="D40" s="8">
        <f t="shared" si="1"/>
        <v>-6.0999999999999735E-3</v>
      </c>
      <c r="E40" s="25">
        <v>3.8434450145889927</v>
      </c>
      <c r="F40" s="9">
        <f t="shared" si="2"/>
        <v>3.82</v>
      </c>
      <c r="G40" s="13">
        <f t="shared" si="4"/>
        <v>2.4741522291776528E-3</v>
      </c>
      <c r="H40" s="17">
        <f t="shared" si="3"/>
        <v>-1.5092328597983617E-5</v>
      </c>
      <c r="J40" s="10"/>
    </row>
    <row r="41" spans="1:10">
      <c r="A41" s="6" t="s">
        <v>20</v>
      </c>
      <c r="B41" s="9">
        <v>191.14588491631176</v>
      </c>
      <c r="C41" s="7">
        <v>193</v>
      </c>
      <c r="D41" s="8">
        <f t="shared" si="1"/>
        <v>9.7000000000000957E-3</v>
      </c>
      <c r="E41" s="25">
        <v>2.8820441715361</v>
      </c>
      <c r="F41" s="9">
        <f t="shared" si="2"/>
        <v>2.91</v>
      </c>
      <c r="G41" s="13">
        <f t="shared" si="4"/>
        <v>1.8552668203988946E-3</v>
      </c>
      <c r="H41" s="17">
        <f t="shared" si="3"/>
        <v>1.7996088157869454E-5</v>
      </c>
      <c r="J41" s="10"/>
    </row>
    <row r="42" spans="1:10">
      <c r="A42" s="6" t="s">
        <v>69</v>
      </c>
      <c r="B42" s="9">
        <v>26.255209366937883</v>
      </c>
      <c r="C42" s="7">
        <v>26.46</v>
      </c>
      <c r="D42" s="8">
        <f t="shared" si="1"/>
        <v>7.8000000000000734E-3</v>
      </c>
      <c r="E42" s="25">
        <v>5.77495534828339</v>
      </c>
      <c r="F42" s="9">
        <f t="shared" si="2"/>
        <v>5.82</v>
      </c>
      <c r="G42" s="13">
        <f t="shared" si="4"/>
        <v>3.7175290902098906E-3</v>
      </c>
      <c r="H42" s="17">
        <f t="shared" si="3"/>
        <v>2.8996726903637419E-5</v>
      </c>
      <c r="J42" s="10"/>
    </row>
    <row r="43" spans="1:10">
      <c r="A43" s="6" t="s">
        <v>83</v>
      </c>
      <c r="B43" s="9">
        <v>29.103956942091095</v>
      </c>
      <c r="C43" s="7">
        <v>29.2</v>
      </c>
      <c r="D43" s="8">
        <f t="shared" si="1"/>
        <v>3.300000000000124E-3</v>
      </c>
      <c r="E43" s="25">
        <v>3.6080932921359512</v>
      </c>
      <c r="F43" s="9">
        <f t="shared" si="2"/>
        <v>3.62</v>
      </c>
      <c r="G43" s="13">
        <f t="shared" si="4"/>
        <v>2.3226485686497389E-3</v>
      </c>
      <c r="H43" s="17">
        <f t="shared" si="3"/>
        <v>7.6647402765444267E-6</v>
      </c>
      <c r="J43" s="10"/>
    </row>
    <row r="44" spans="1:10">
      <c r="A44" s="6" t="s">
        <v>76</v>
      </c>
      <c r="B44" s="9">
        <v>75.330132052821128</v>
      </c>
      <c r="C44" s="7">
        <v>75.3</v>
      </c>
      <c r="D44" s="8">
        <f t="shared" si="1"/>
        <v>-4.0000000000002891E-4</v>
      </c>
      <c r="E44" s="25">
        <v>4.7218887555022002</v>
      </c>
      <c r="F44" s="9">
        <f t="shared" si="2"/>
        <v>4.7199999999999989</v>
      </c>
      <c r="G44" s="13">
        <f t="shared" si="4"/>
        <v>3.0396354171867796E-3</v>
      </c>
      <c r="H44" s="17">
        <f t="shared" si="3"/>
        <v>-1.2158541668747998E-6</v>
      </c>
      <c r="J44" s="10"/>
    </row>
    <row r="45" spans="1:10">
      <c r="A45" s="6" t="s">
        <v>120</v>
      </c>
      <c r="B45" s="9">
        <v>3.7898801056695794</v>
      </c>
      <c r="C45" s="7">
        <v>3.73</v>
      </c>
      <c r="D45" s="8">
        <f t="shared" si="1"/>
        <v>-1.5800000000000029E-2</v>
      </c>
      <c r="E45" s="25">
        <v>0.32505588295061982</v>
      </c>
      <c r="F45" s="9">
        <f t="shared" si="2"/>
        <v>0.31992000000000004</v>
      </c>
      <c r="G45" s="13">
        <f t="shared" si="4"/>
        <v>2.0924918513387113E-4</v>
      </c>
      <c r="H45" s="17">
        <f t="shared" si="3"/>
        <v>-3.3061371251151701E-6</v>
      </c>
      <c r="J45" s="10"/>
    </row>
    <row r="46" spans="1:10">
      <c r="A46" s="6" t="s">
        <v>28</v>
      </c>
      <c r="B46" s="9">
        <v>19.290245836637592</v>
      </c>
      <c r="C46" s="7">
        <v>19.46</v>
      </c>
      <c r="D46" s="8">
        <f t="shared" si="1"/>
        <v>8.7999999999999121E-3</v>
      </c>
      <c r="E46" s="25">
        <v>46.530531324345759</v>
      </c>
      <c r="F46" s="9">
        <f t="shared" si="2"/>
        <v>46.94</v>
      </c>
      <c r="G46" s="13">
        <f t="shared" si="4"/>
        <v>2.9953236579153105E-2</v>
      </c>
      <c r="H46" s="17">
        <f t="shared" si="3"/>
        <v>2.6358848189654468E-4</v>
      </c>
      <c r="J46" s="10"/>
    </row>
    <row r="47" spans="1:10">
      <c r="A47" s="6" t="s">
        <v>65</v>
      </c>
      <c r="B47" s="9">
        <v>108.25412706353177</v>
      </c>
      <c r="C47" s="7">
        <v>108.2</v>
      </c>
      <c r="D47" s="8">
        <f t="shared" si="1"/>
        <v>-5.0000000000000001E-4</v>
      </c>
      <c r="E47" s="25">
        <v>6.8234117058529264</v>
      </c>
      <c r="F47" s="9">
        <f t="shared" si="2"/>
        <v>6.82</v>
      </c>
      <c r="G47" s="13">
        <f t="shared" si="4"/>
        <v>4.3924550028818969E-3</v>
      </c>
      <c r="H47" s="17">
        <f t="shared" si="3"/>
        <v>-2.1962275014409484E-6</v>
      </c>
      <c r="J47" s="10"/>
    </row>
    <row r="48" spans="1:10">
      <c r="A48" s="6" t="s">
        <v>67</v>
      </c>
      <c r="B48" s="9">
        <v>67.060662303409202</v>
      </c>
      <c r="C48" s="7">
        <v>68.650000000000006</v>
      </c>
      <c r="D48" s="8">
        <f t="shared" si="1"/>
        <v>2.3700000000000079E-2</v>
      </c>
      <c r="E48" s="25">
        <v>5.9001660642766431</v>
      </c>
      <c r="F48" s="9">
        <f t="shared" si="2"/>
        <v>6.04</v>
      </c>
      <c r="G48" s="13">
        <f t="shared" si="4"/>
        <v>3.7981313548229477E-3</v>
      </c>
      <c r="H48" s="17">
        <f t="shared" si="3"/>
        <v>9.0015713109304162E-5</v>
      </c>
      <c r="J48" s="10"/>
    </row>
    <row r="49" spans="1:10">
      <c r="A49" s="6" t="s">
        <v>116</v>
      </c>
      <c r="B49" s="9">
        <v>36.280275092195751</v>
      </c>
      <c r="C49" s="7">
        <v>36.4</v>
      </c>
      <c r="D49" s="8">
        <f t="shared" si="1"/>
        <v>3.3000000000000416E-3</v>
      </c>
      <c r="E49" s="25">
        <v>0.84802152895445027</v>
      </c>
      <c r="F49" s="9">
        <f t="shared" si="2"/>
        <v>0.85082000000000002</v>
      </c>
      <c r="G49" s="13">
        <f t="shared" si="4"/>
        <v>5.4589940750789253E-4</v>
      </c>
      <c r="H49" s="17">
        <f t="shared" si="3"/>
        <v>1.801468044776068E-6</v>
      </c>
      <c r="J49" s="10"/>
    </row>
    <row r="50" spans="1:10">
      <c r="A50" s="6" t="s">
        <v>71</v>
      </c>
      <c r="B50" s="9">
        <v>10.524725551415045</v>
      </c>
      <c r="C50" s="7">
        <v>10.45</v>
      </c>
      <c r="D50" s="8">
        <f t="shared" si="1"/>
        <v>-7.0999999999999215E-3</v>
      </c>
      <c r="E50" s="25">
        <v>5.7810454224997487</v>
      </c>
      <c r="F50" s="9">
        <f t="shared" si="2"/>
        <v>5.7400000000000011</v>
      </c>
      <c r="G50" s="13">
        <f t="shared" si="4"/>
        <v>3.7214494717012522E-3</v>
      </c>
      <c r="H50" s="17">
        <f t="shared" si="3"/>
        <v>-2.6422291249078598E-5</v>
      </c>
      <c r="J50" s="10"/>
    </row>
    <row r="51" spans="1:10">
      <c r="A51" s="6" t="s">
        <v>106</v>
      </c>
      <c r="B51" s="9">
        <v>41.921397379912662</v>
      </c>
      <c r="C51" s="7">
        <v>42.24</v>
      </c>
      <c r="D51" s="8">
        <f t="shared" si="1"/>
        <v>7.6000000000000893E-3</v>
      </c>
      <c r="E51" s="25">
        <v>1.5581579992060341</v>
      </c>
      <c r="F51" s="9">
        <f t="shared" si="2"/>
        <v>1.57</v>
      </c>
      <c r="G51" s="13">
        <f t="shared" si="4"/>
        <v>1.0030376582761797E-3</v>
      </c>
      <c r="H51" s="17">
        <f t="shared" si="3"/>
        <v>7.6230862028990548E-6</v>
      </c>
      <c r="J51" s="10"/>
    </row>
    <row r="52" spans="1:10">
      <c r="A52" s="6" t="s">
        <v>93</v>
      </c>
      <c r="B52" s="9">
        <v>6.7520256076823042</v>
      </c>
      <c r="C52" s="7">
        <v>6.75</v>
      </c>
      <c r="D52" s="8">
        <f t="shared" si="1"/>
        <v>-2.9999999999992695E-4</v>
      </c>
      <c r="E52" s="25">
        <v>2.7908372511753528</v>
      </c>
      <c r="F52" s="9">
        <f t="shared" si="2"/>
        <v>2.79</v>
      </c>
      <c r="G52" s="13">
        <f t="shared" si="4"/>
        <v>1.7965539197406545E-3</v>
      </c>
      <c r="H52" s="17">
        <f t="shared" si="3"/>
        <v>-5.3896617592206509E-7</v>
      </c>
      <c r="J52" s="10"/>
    </row>
    <row r="53" spans="1:10">
      <c r="A53" s="6" t="s">
        <v>15</v>
      </c>
      <c r="B53" s="9">
        <v>262.30408305880002</v>
      </c>
      <c r="C53" s="7">
        <v>262.75</v>
      </c>
      <c r="D53" s="8">
        <f t="shared" si="1"/>
        <v>1.7000000000000851E-3</v>
      </c>
      <c r="E53" s="25">
        <v>27.692922032544672</v>
      </c>
      <c r="F53" s="9">
        <f t="shared" si="2"/>
        <v>27.74</v>
      </c>
      <c r="G53" s="13">
        <f t="shared" si="4"/>
        <v>1.7826846623065402E-2</v>
      </c>
      <c r="H53" s="17">
        <f t="shared" si="3"/>
        <v>3.0305639259212702E-5</v>
      </c>
      <c r="J53" s="10"/>
    </row>
    <row r="54" spans="1:10">
      <c r="A54" s="6" t="s">
        <v>77</v>
      </c>
      <c r="B54" s="9">
        <v>63.579750903977498</v>
      </c>
      <c r="C54" s="7">
        <v>63.3</v>
      </c>
      <c r="D54" s="8">
        <f t="shared" si="1"/>
        <v>-4.3999999999999968E-3</v>
      </c>
      <c r="E54" s="25">
        <v>4.7006830052229809</v>
      </c>
      <c r="F54" s="9">
        <f t="shared" si="2"/>
        <v>4.68</v>
      </c>
      <c r="G54" s="13">
        <f t="shared" si="4"/>
        <v>3.025984576827268E-3</v>
      </c>
      <c r="H54" s="17">
        <f t="shared" si="3"/>
        <v>-1.331433213803997E-5</v>
      </c>
      <c r="J54" s="10"/>
    </row>
    <row r="55" spans="1:10">
      <c r="A55" s="6" t="s">
        <v>50</v>
      </c>
      <c r="B55" s="9">
        <v>195.99120263920827</v>
      </c>
      <c r="C55" s="7">
        <v>196.05</v>
      </c>
      <c r="D55" s="8">
        <f t="shared" si="1"/>
        <v>2.9999999999990245E-4</v>
      </c>
      <c r="E55" s="25">
        <v>11.386584024792564</v>
      </c>
      <c r="F55" s="9">
        <f t="shared" si="2"/>
        <v>11.39</v>
      </c>
      <c r="G55" s="13">
        <f t="shared" si="4"/>
        <v>7.3299194188346725E-3</v>
      </c>
      <c r="H55" s="17">
        <f t="shared" si="3"/>
        <v>2.1989758256496869E-6</v>
      </c>
      <c r="J55" s="10"/>
    </row>
    <row r="56" spans="1:10">
      <c r="A56" s="6" t="s">
        <v>22</v>
      </c>
      <c r="B56" s="9">
        <v>60.197861496952143</v>
      </c>
      <c r="C56" s="7">
        <v>60.24</v>
      </c>
      <c r="D56" s="8">
        <f t="shared" si="1"/>
        <v>6.9999999999987433E-4</v>
      </c>
      <c r="E56" s="25">
        <v>4.5867892475267311</v>
      </c>
      <c r="F56" s="9">
        <f t="shared" si="2"/>
        <v>4.59</v>
      </c>
      <c r="G56" s="13">
        <f t="shared" si="4"/>
        <v>2.9526674112573242E-3</v>
      </c>
      <c r="H56" s="17">
        <f t="shared" si="3"/>
        <v>2.0668671878797557E-6</v>
      </c>
      <c r="J56" s="10"/>
    </row>
    <row r="57" spans="1:10">
      <c r="A57" s="6" t="s">
        <v>75</v>
      </c>
      <c r="B57" s="9">
        <v>84.817488969113512</v>
      </c>
      <c r="C57" s="7">
        <v>84.58</v>
      </c>
      <c r="D57" s="8">
        <f t="shared" si="1"/>
        <v>-2.7999999999999527E-3</v>
      </c>
      <c r="E57" s="25">
        <v>4.7733654231849174</v>
      </c>
      <c r="F57" s="9">
        <f t="shared" si="2"/>
        <v>4.76</v>
      </c>
      <c r="G57" s="13">
        <f t="shared" si="4"/>
        <v>3.0727726447558989E-3</v>
      </c>
      <c r="H57" s="17">
        <f t="shared" si="3"/>
        <v>-8.6037634053163709E-6</v>
      </c>
      <c r="J57" s="10"/>
    </row>
    <row r="58" spans="1:10">
      <c r="A58" s="6" t="s">
        <v>85</v>
      </c>
      <c r="B58" s="9">
        <v>42.123804730749875</v>
      </c>
      <c r="C58" s="7">
        <v>41.85</v>
      </c>
      <c r="D58" s="8">
        <f t="shared" si="1"/>
        <v>-6.4999999999999772E-3</v>
      </c>
      <c r="E58" s="25">
        <v>3.4927025666834424</v>
      </c>
      <c r="F58" s="9">
        <f t="shared" si="2"/>
        <v>3.47</v>
      </c>
      <c r="G58" s="13">
        <f t="shared" si="4"/>
        <v>2.2483677555976285E-3</v>
      </c>
      <c r="H58" s="17">
        <f t="shared" si="3"/>
        <v>-1.4614390411384534E-5</v>
      </c>
      <c r="J58" s="10"/>
    </row>
    <row r="59" spans="1:10">
      <c r="A59" s="6" t="s">
        <v>114</v>
      </c>
      <c r="B59" s="9">
        <v>22.81953376205788</v>
      </c>
      <c r="C59" s="7">
        <v>22.71</v>
      </c>
      <c r="D59" s="8">
        <f t="shared" si="1"/>
        <v>-4.8000000000000473E-3</v>
      </c>
      <c r="E59" s="25">
        <v>1.034967845659164</v>
      </c>
      <c r="F59" s="9">
        <f t="shared" si="2"/>
        <v>1.03</v>
      </c>
      <c r="G59" s="13">
        <f t="shared" si="4"/>
        <v>6.6624291299732417E-4</v>
      </c>
      <c r="H59" s="17">
        <f t="shared" si="3"/>
        <v>-3.1979659823871874E-6</v>
      </c>
      <c r="J59" s="10"/>
    </row>
    <row r="60" spans="1:10">
      <c r="A60" s="6" t="s">
        <v>68</v>
      </c>
      <c r="B60" s="9">
        <v>26.954232482786555</v>
      </c>
      <c r="C60" s="7">
        <v>26.62</v>
      </c>
      <c r="D60" s="8">
        <f t="shared" si="1"/>
        <v>-1.2400000000000024E-2</v>
      </c>
      <c r="E60" s="25">
        <v>6.0247063588497367</v>
      </c>
      <c r="F60" s="9">
        <f t="shared" si="2"/>
        <v>5.9499999999999993</v>
      </c>
      <c r="G60" s="13">
        <f t="shared" si="4"/>
        <v>3.8783020470719199E-3</v>
      </c>
      <c r="H60" s="17">
        <f t="shared" si="3"/>
        <v>-4.8090945383691899E-5</v>
      </c>
      <c r="J60" s="10"/>
    </row>
    <row r="61" spans="1:10">
      <c r="A61" s="6" t="s">
        <v>38</v>
      </c>
      <c r="B61" s="9">
        <v>162.79649192744665</v>
      </c>
      <c r="C61" s="7">
        <v>163.35</v>
      </c>
      <c r="D61" s="8">
        <f t="shared" si="1"/>
        <v>3.4000000000001429E-3</v>
      </c>
      <c r="E61" s="25">
        <v>20.550129559497709</v>
      </c>
      <c r="F61" s="9">
        <f t="shared" si="2"/>
        <v>20.62</v>
      </c>
      <c r="G61" s="13">
        <f t="shared" si="4"/>
        <v>1.3228795694104125E-2</v>
      </c>
      <c r="H61" s="17">
        <f t="shared" si="3"/>
        <v>4.4977905359955916E-5</v>
      </c>
      <c r="J61" s="10"/>
    </row>
    <row r="62" spans="1:10">
      <c r="A62" s="6" t="s">
        <v>21</v>
      </c>
      <c r="B62" s="9">
        <v>35.175175175175177</v>
      </c>
      <c r="C62" s="7">
        <v>35.14</v>
      </c>
      <c r="D62" s="8">
        <f t="shared" si="1"/>
        <v>-1.0000000000000325E-3</v>
      </c>
      <c r="E62" s="25">
        <v>7.0170170170170172</v>
      </c>
      <c r="F62" s="9">
        <f t="shared" si="2"/>
        <v>7.01</v>
      </c>
      <c r="G62" s="13">
        <f t="shared" si="4"/>
        <v>4.5170851225737468E-3</v>
      </c>
      <c r="H62" s="17">
        <f t="shared" si="3"/>
        <v>-4.517085122573894E-6</v>
      </c>
      <c r="J62" s="10"/>
    </row>
    <row r="63" spans="1:10">
      <c r="A63" s="6" t="s">
        <v>96</v>
      </c>
      <c r="B63" s="9">
        <v>29.349894821196035</v>
      </c>
      <c r="C63" s="7">
        <v>29.3</v>
      </c>
      <c r="D63" s="8">
        <f t="shared" si="1"/>
        <v>-1.7000000000000233E-3</v>
      </c>
      <c r="E63" s="25">
        <v>2.3239507162175697</v>
      </c>
      <c r="F63" s="9">
        <f t="shared" si="2"/>
        <v>2.3199999999999998</v>
      </c>
      <c r="G63" s="13">
        <f t="shared" si="4"/>
        <v>1.4960036694172847E-3</v>
      </c>
      <c r="H63" s="17">
        <f t="shared" si="3"/>
        <v>-2.543206238009419E-6</v>
      </c>
      <c r="J63" s="10"/>
    </row>
    <row r="64" spans="1:10">
      <c r="A64" s="6" t="s">
        <v>45</v>
      </c>
      <c r="B64" s="9">
        <v>58.489795918367349</v>
      </c>
      <c r="C64" s="7">
        <v>57.32</v>
      </c>
      <c r="D64" s="8">
        <f t="shared" si="1"/>
        <v>-2.0000000000000035E-2</v>
      </c>
      <c r="E64" s="25">
        <v>16.80612244897959</v>
      </c>
      <c r="F64" s="9">
        <f t="shared" si="2"/>
        <v>16.47</v>
      </c>
      <c r="G64" s="13">
        <f t="shared" si="4"/>
        <v>1.0818654921077878E-2</v>
      </c>
      <c r="H64" s="17">
        <f t="shared" si="3"/>
        <v>-2.1637309842155794E-4</v>
      </c>
      <c r="J64" s="10"/>
    </row>
    <row r="65" spans="1:10">
      <c r="A65" s="6" t="s">
        <v>91</v>
      </c>
      <c r="B65" s="9">
        <v>22.364344958529031</v>
      </c>
      <c r="C65" s="7">
        <v>22.38</v>
      </c>
      <c r="D65" s="8">
        <f t="shared" si="1"/>
        <v>6.9999999999988485E-4</v>
      </c>
      <c r="E65" s="25">
        <v>2.9279504346957133</v>
      </c>
      <c r="F65" s="9">
        <f t="shared" si="2"/>
        <v>2.93</v>
      </c>
      <c r="G65" s="13">
        <f t="shared" si="4"/>
        <v>1.8848181949856124E-3</v>
      </c>
      <c r="H65" s="17">
        <f t="shared" si="3"/>
        <v>1.3193727364897117E-6</v>
      </c>
      <c r="J65" s="10"/>
    </row>
    <row r="66" spans="1:10">
      <c r="A66" s="6" t="s">
        <v>51</v>
      </c>
      <c r="B66" s="9">
        <v>42.548880559213863</v>
      </c>
      <c r="C66" s="7">
        <v>42</v>
      </c>
      <c r="D66" s="8">
        <f t="shared" si="1"/>
        <v>-1.2900000000000104E-2</v>
      </c>
      <c r="E66" s="25">
        <v>11.265322662344239</v>
      </c>
      <c r="F66" s="9">
        <f t="shared" si="2"/>
        <v>11.119999999999997</v>
      </c>
      <c r="G66" s="13">
        <f t="shared" si="4"/>
        <v>7.2518594832623349E-3</v>
      </c>
      <c r="H66" s="17">
        <f t="shared" si="3"/>
        <v>-9.3548987334084871E-5</v>
      </c>
      <c r="J66" s="10"/>
    </row>
    <row r="67" spans="1:10">
      <c r="A67" s="6" t="s">
        <v>0</v>
      </c>
      <c r="B67" s="9">
        <v>134.80392156862746</v>
      </c>
      <c r="C67" s="7">
        <v>134.75</v>
      </c>
      <c r="D67" s="8">
        <f t="shared" si="1"/>
        <v>-4.0000000000005786E-4</v>
      </c>
      <c r="E67" s="25">
        <v>75.300120048019195</v>
      </c>
      <c r="F67" s="9">
        <f t="shared" si="2"/>
        <v>75.269999999999982</v>
      </c>
      <c r="G67" s="13">
        <f t="shared" si="4"/>
        <v>4.8473169036366288E-2</v>
      </c>
      <c r="H67" s="17">
        <f t="shared" si="3"/>
        <v>-1.9389267614549319E-5</v>
      </c>
      <c r="J67" s="10"/>
    </row>
    <row r="68" spans="1:10">
      <c r="A68" s="6" t="s">
        <v>26</v>
      </c>
      <c r="B68" s="9">
        <v>143.79841062267377</v>
      </c>
      <c r="C68" s="7">
        <v>142.94999999999999</v>
      </c>
      <c r="D68" s="8">
        <f t="shared" si="1"/>
        <v>-5.9000000000000484E-3</v>
      </c>
      <c r="E68" s="25">
        <v>73.00070415451161</v>
      </c>
      <c r="F68" s="9">
        <f t="shared" si="2"/>
        <v>72.569999999999993</v>
      </c>
      <c r="G68" s="13">
        <f t="shared" si="4"/>
        <v>4.6992959240952661E-2</v>
      </c>
      <c r="H68" s="17">
        <f t="shared" si="3"/>
        <v>-2.7725845952162296E-4</v>
      </c>
      <c r="J68" s="10"/>
    </row>
    <row r="69" spans="1:10">
      <c r="A69" s="6" t="s">
        <v>102</v>
      </c>
      <c r="B69" s="9">
        <v>15.224534501642935</v>
      </c>
      <c r="C69" s="7">
        <v>15.29</v>
      </c>
      <c r="D69" s="8">
        <f t="shared" si="1"/>
        <v>4.299999999999941E-3</v>
      </c>
      <c r="E69" s="25">
        <v>1.9217365329084934</v>
      </c>
      <c r="F69" s="9">
        <f t="shared" si="2"/>
        <v>1.93</v>
      </c>
      <c r="G69" s="13">
        <f t="shared" ref="G69:G100" si="5">E69/SUM(Capi_DP)</f>
        <v>1.2370851433388163E-3</v>
      </c>
      <c r="H69" s="17">
        <f t="shared" si="3"/>
        <v>5.3194661163568372E-6</v>
      </c>
      <c r="J69" s="10"/>
    </row>
    <row r="70" spans="1:10">
      <c r="A70" s="6" t="s">
        <v>115</v>
      </c>
      <c r="B70" s="9">
        <v>8.622974212618491</v>
      </c>
      <c r="C70" s="7">
        <v>8.4600000000000009</v>
      </c>
      <c r="D70" s="8">
        <f t="shared" ref="D70:D124" si="6">(C70-B70)/B70</f>
        <v>-1.8900000000000073E-2</v>
      </c>
      <c r="E70" s="25">
        <v>1.0498420140658444</v>
      </c>
      <c r="F70" s="9">
        <f t="shared" ref="F70:F124" si="7">(1+D70)*E70</f>
        <v>1.03</v>
      </c>
      <c r="G70" s="13">
        <f t="shared" si="5"/>
        <v>6.7581790542751703E-4</v>
      </c>
      <c r="H70" s="17">
        <f t="shared" ref="H70:H124" si="8">G70*D70</f>
        <v>-1.2772958412580121E-5</v>
      </c>
      <c r="J70" s="10"/>
    </row>
    <row r="71" spans="1:10">
      <c r="A71" s="6" t="s">
        <v>103</v>
      </c>
      <c r="B71" s="9">
        <v>18.105709098244905</v>
      </c>
      <c r="C71" s="7">
        <v>17.95</v>
      </c>
      <c r="D71" s="8">
        <f t="shared" si="6"/>
        <v>-8.5999999999999584E-3</v>
      </c>
      <c r="E71" s="25">
        <v>1.6643130925963283</v>
      </c>
      <c r="F71" s="9">
        <f t="shared" si="7"/>
        <v>1.65</v>
      </c>
      <c r="G71" s="13">
        <f t="shared" si="5"/>
        <v>1.071373190579416E-3</v>
      </c>
      <c r="H71" s="17">
        <f t="shared" si="8"/>
        <v>-9.2138094389829338E-6</v>
      </c>
      <c r="J71" s="10"/>
    </row>
    <row r="72" spans="1:10">
      <c r="A72" s="6" t="s">
        <v>46</v>
      </c>
      <c r="B72" s="9">
        <v>74.697590722783161</v>
      </c>
      <c r="C72" s="7">
        <v>74.72</v>
      </c>
      <c r="D72" s="8">
        <f t="shared" si="6"/>
        <v>3.0000000000003559E-4</v>
      </c>
      <c r="E72" s="25">
        <v>13.855843247025891</v>
      </c>
      <c r="F72" s="9">
        <f t="shared" si="7"/>
        <v>13.86</v>
      </c>
      <c r="G72" s="13">
        <f t="shared" si="5"/>
        <v>8.9194629626908294E-3</v>
      </c>
      <c r="H72" s="17">
        <f t="shared" si="8"/>
        <v>2.6758388888075662E-6</v>
      </c>
      <c r="J72" s="10"/>
    </row>
    <row r="73" spans="1:10">
      <c r="A73" s="6" t="s">
        <v>117</v>
      </c>
      <c r="B73" s="9">
        <v>64.50093237805477</v>
      </c>
      <c r="C73" s="7">
        <v>65.72</v>
      </c>
      <c r="D73" s="8">
        <f t="shared" si="6"/>
        <v>1.8899999999999896E-2</v>
      </c>
      <c r="E73" s="25">
        <v>0.69549514181960936</v>
      </c>
      <c r="F73" s="9">
        <f t="shared" si="7"/>
        <v>0.70863999999999994</v>
      </c>
      <c r="G73" s="13">
        <f t="shared" si="5"/>
        <v>4.4771314510381452E-4</v>
      </c>
      <c r="H73" s="17">
        <f t="shared" si="8"/>
        <v>8.4617784424620484E-6</v>
      </c>
      <c r="J73" s="10"/>
    </row>
    <row r="74" spans="1:10">
      <c r="A74" s="6" t="s">
        <v>43</v>
      </c>
      <c r="B74" s="9">
        <v>5.514816675037669</v>
      </c>
      <c r="C74" s="7">
        <v>5.49</v>
      </c>
      <c r="D74" s="8">
        <f t="shared" si="6"/>
        <v>-4.4999999999998756E-3</v>
      </c>
      <c r="E74" s="25">
        <v>17.197388247112006</v>
      </c>
      <c r="F74" s="9">
        <f t="shared" si="7"/>
        <v>17.120000000000005</v>
      </c>
      <c r="G74" s="13">
        <f t="shared" si="5"/>
        <v>1.107052561077833E-2</v>
      </c>
      <c r="H74" s="17">
        <f t="shared" si="8"/>
        <v>-4.9817365248501109E-5</v>
      </c>
      <c r="J74" s="10"/>
    </row>
    <row r="75" spans="1:10">
      <c r="A75" s="6" t="s">
        <v>101</v>
      </c>
      <c r="B75" s="9">
        <v>56.41922269957039</v>
      </c>
      <c r="C75" s="7">
        <v>56.47</v>
      </c>
      <c r="D75" s="8">
        <f t="shared" si="6"/>
        <v>8.9999999999991183E-4</v>
      </c>
      <c r="E75" s="25">
        <v>1.9482465780797285</v>
      </c>
      <c r="F75" s="9">
        <f t="shared" si="7"/>
        <v>1.95</v>
      </c>
      <c r="G75" s="13">
        <f t="shared" si="5"/>
        <v>1.2541505331406851E-3</v>
      </c>
      <c r="H75" s="17">
        <f t="shared" si="8"/>
        <v>1.1287354798265061E-6</v>
      </c>
      <c r="J75" s="10"/>
    </row>
    <row r="76" spans="1:10">
      <c r="A76" s="6" t="s">
        <v>113</v>
      </c>
      <c r="B76" s="9">
        <v>27.089567125473771</v>
      </c>
      <c r="C76" s="7">
        <v>27.16</v>
      </c>
      <c r="D76" s="8">
        <f t="shared" si="6"/>
        <v>2.5999999999999144E-3</v>
      </c>
      <c r="E76" s="25">
        <v>1.1370436864153202</v>
      </c>
      <c r="F76" s="9">
        <f t="shared" si="7"/>
        <v>1.1399999999999999</v>
      </c>
      <c r="G76" s="13">
        <f t="shared" si="5"/>
        <v>7.3195249593486849E-4</v>
      </c>
      <c r="H76" s="17">
        <f t="shared" si="8"/>
        <v>1.9030764894305955E-6</v>
      </c>
      <c r="J76" s="10"/>
    </row>
    <row r="77" spans="1:10">
      <c r="A77" s="6" t="s">
        <v>9</v>
      </c>
      <c r="B77" s="9">
        <v>28.994677111579794</v>
      </c>
      <c r="C77" s="7">
        <v>28.87</v>
      </c>
      <c r="D77" s="8">
        <f t="shared" si="6"/>
        <v>-4.2999999999999844E-3</v>
      </c>
      <c r="E77" s="25">
        <v>1.5667369689665562</v>
      </c>
      <c r="F77" s="9">
        <f t="shared" si="7"/>
        <v>1.56</v>
      </c>
      <c r="G77" s="13">
        <f t="shared" si="5"/>
        <v>1.0085602238590031E-3</v>
      </c>
      <c r="H77" s="17">
        <f t="shared" si="8"/>
        <v>-4.3368089625936979E-6</v>
      </c>
      <c r="J77" s="10"/>
    </row>
    <row r="78" spans="1:10">
      <c r="A78" s="6" t="s">
        <v>48</v>
      </c>
      <c r="B78" s="9">
        <v>33.115856069592724</v>
      </c>
      <c r="C78" s="7">
        <v>33.5</v>
      </c>
      <c r="D78" s="8">
        <f t="shared" si="6"/>
        <v>1.1600000000000027E-2</v>
      </c>
      <c r="E78" s="25">
        <v>12.900355871886122</v>
      </c>
      <c r="F78" s="9">
        <f t="shared" si="7"/>
        <v>13.05</v>
      </c>
      <c r="G78" s="13">
        <f t="shared" si="5"/>
        <v>8.3043842481054023E-3</v>
      </c>
      <c r="H78" s="17">
        <f t="shared" si="8"/>
        <v>9.6330857278022897E-5</v>
      </c>
      <c r="J78" s="10"/>
    </row>
    <row r="79" spans="1:10">
      <c r="A79" s="6" t="s">
        <v>32</v>
      </c>
      <c r="B79" s="9">
        <v>13.830542871638762</v>
      </c>
      <c r="C79" s="7">
        <v>13.63</v>
      </c>
      <c r="D79" s="8">
        <f t="shared" si="6"/>
        <v>-1.4499999999999968E-2</v>
      </c>
      <c r="E79" s="25">
        <v>36.631151699644853</v>
      </c>
      <c r="F79" s="9">
        <f t="shared" si="7"/>
        <v>36.1</v>
      </c>
      <c r="G79" s="13">
        <f t="shared" si="5"/>
        <v>2.358067964833703E-2</v>
      </c>
      <c r="H79" s="17">
        <f t="shared" si="8"/>
        <v>-3.4191985490088618E-4</v>
      </c>
      <c r="J79" s="10"/>
    </row>
    <row r="80" spans="1:10">
      <c r="A80" s="6" t="s">
        <v>94</v>
      </c>
      <c r="B80" s="9">
        <v>50.467665694458418</v>
      </c>
      <c r="C80" s="7">
        <v>50.18</v>
      </c>
      <c r="D80" s="8">
        <f t="shared" si="6"/>
        <v>-5.7000000000001069E-3</v>
      </c>
      <c r="E80" s="25">
        <v>2.805994166750478</v>
      </c>
      <c r="F80" s="9">
        <f t="shared" si="7"/>
        <v>2.79</v>
      </c>
      <c r="G80" s="13">
        <f t="shared" si="5"/>
        <v>1.8063109258420319E-3</v>
      </c>
      <c r="H80" s="17">
        <f t="shared" si="8"/>
        <v>-1.0295972277299775E-5</v>
      </c>
      <c r="J80" s="10"/>
    </row>
    <row r="81" spans="1:10">
      <c r="A81" s="6" t="s">
        <v>36</v>
      </c>
      <c r="B81" s="9">
        <v>93.386773547094194</v>
      </c>
      <c r="C81" s="7">
        <v>93.2</v>
      </c>
      <c r="D81" s="8">
        <f t="shared" si="6"/>
        <v>-2.0000000000000269E-3</v>
      </c>
      <c r="E81" s="25">
        <v>24.789579158316631</v>
      </c>
      <c r="F81" s="9">
        <f t="shared" si="7"/>
        <v>24.74</v>
      </c>
      <c r="G81" s="13">
        <f t="shared" si="5"/>
        <v>1.5957869125775376E-2</v>
      </c>
      <c r="H81" s="17">
        <f t="shared" si="8"/>
        <v>-3.1915738251551181E-5</v>
      </c>
      <c r="J81" s="10"/>
    </row>
    <row r="82" spans="1:10">
      <c r="A82" s="6" t="s">
        <v>11</v>
      </c>
      <c r="B82" s="9">
        <v>10.090180360721444</v>
      </c>
      <c r="C82" s="7">
        <v>10.07</v>
      </c>
      <c r="D82" s="8">
        <f t="shared" si="6"/>
        <v>-2.0000000000000794E-3</v>
      </c>
      <c r="E82" s="25">
        <v>7.895791583166333</v>
      </c>
      <c r="F82" s="9">
        <f t="shared" si="7"/>
        <v>7.879999999999999</v>
      </c>
      <c r="G82" s="13">
        <f t="shared" si="5"/>
        <v>5.0827812736907833E-3</v>
      </c>
      <c r="H82" s="17">
        <f t="shared" si="8"/>
        <v>-1.016556254738197E-5</v>
      </c>
      <c r="J82" s="10"/>
    </row>
    <row r="83" spans="1:10">
      <c r="A83" s="6" t="s">
        <v>90</v>
      </c>
      <c r="B83" s="9">
        <v>20.599175630843469</v>
      </c>
      <c r="C83" s="7">
        <v>20.49</v>
      </c>
      <c r="D83" s="8">
        <f t="shared" si="6"/>
        <v>-5.2999999999999992E-3</v>
      </c>
      <c r="E83" s="25">
        <v>3.1667839549612946</v>
      </c>
      <c r="F83" s="9">
        <f t="shared" si="7"/>
        <v>3.15</v>
      </c>
      <c r="G83" s="13">
        <f t="shared" si="5"/>
        <v>2.0385632035194797E-3</v>
      </c>
      <c r="H83" s="17">
        <f t="shared" si="8"/>
        <v>-1.080438497865324E-5</v>
      </c>
      <c r="J83" s="10"/>
    </row>
    <row r="84" spans="1:10">
      <c r="A84" s="6" t="s">
        <v>49</v>
      </c>
      <c r="B84" s="9">
        <v>58.350972684205225</v>
      </c>
      <c r="C84" s="7">
        <v>57.89</v>
      </c>
      <c r="D84" s="8">
        <f t="shared" si="6"/>
        <v>-7.9000000000000459E-3</v>
      </c>
      <c r="E84" s="25">
        <v>12.891845580082652</v>
      </c>
      <c r="F84" s="9">
        <f t="shared" si="7"/>
        <v>12.79</v>
      </c>
      <c r="G84" s="13">
        <f t="shared" si="5"/>
        <v>8.2989058927870393E-3</v>
      </c>
      <c r="H84" s="17">
        <f t="shared" si="8"/>
        <v>-6.5561356553017991E-5</v>
      </c>
      <c r="J84" s="10"/>
    </row>
    <row r="85" spans="1:10">
      <c r="A85" s="6" t="s">
        <v>92</v>
      </c>
      <c r="B85" s="9">
        <v>58.347470312344079</v>
      </c>
      <c r="C85" s="7">
        <v>58.47</v>
      </c>
      <c r="D85" s="8">
        <f t="shared" si="6"/>
        <v>2.0999999999999539E-3</v>
      </c>
      <c r="E85" s="25">
        <v>2.8440275421614611</v>
      </c>
      <c r="F85" s="9">
        <f t="shared" si="7"/>
        <v>2.85</v>
      </c>
      <c r="G85" s="13">
        <f t="shared" si="5"/>
        <v>1.8307942631082207E-3</v>
      </c>
      <c r="H85" s="17">
        <f t="shared" si="8"/>
        <v>3.8446679525271793E-6</v>
      </c>
      <c r="J85" s="10"/>
    </row>
    <row r="86" spans="1:10">
      <c r="A86" s="6" t="s">
        <v>40</v>
      </c>
      <c r="B86" s="9">
        <v>64.019627478469857</v>
      </c>
      <c r="C86" s="7">
        <v>63.93</v>
      </c>
      <c r="D86" s="8">
        <f t="shared" si="6"/>
        <v>-1.3999999999999974E-3</v>
      </c>
      <c r="E86" s="25">
        <v>18.936511115561785</v>
      </c>
      <c r="F86" s="9">
        <f t="shared" si="7"/>
        <v>18.91</v>
      </c>
      <c r="G86" s="13">
        <f t="shared" si="5"/>
        <v>1.2190056319675173E-2</v>
      </c>
      <c r="H86" s="17">
        <f t="shared" si="8"/>
        <v>-1.7066078847545211E-5</v>
      </c>
      <c r="J86" s="10"/>
    </row>
    <row r="87" spans="1:10">
      <c r="A87" s="6" t="s">
        <v>79</v>
      </c>
      <c r="B87" s="9">
        <v>14.645058659773316</v>
      </c>
      <c r="C87" s="7">
        <v>14.73</v>
      </c>
      <c r="D87" s="8">
        <f t="shared" si="6"/>
        <v>5.7999999999999675E-3</v>
      </c>
      <c r="E87" s="25">
        <v>4.2752038178564327</v>
      </c>
      <c r="F87" s="9">
        <f t="shared" si="7"/>
        <v>4.3</v>
      </c>
      <c r="G87" s="13">
        <f t="shared" si="5"/>
        <v>2.752089600862791E-3</v>
      </c>
      <c r="H87" s="17">
        <f t="shared" si="8"/>
        <v>1.5962119685004099E-5</v>
      </c>
      <c r="J87" s="10"/>
    </row>
    <row r="88" spans="1:10">
      <c r="A88" s="6" t="s">
        <v>19</v>
      </c>
      <c r="B88" s="9">
        <v>47.605746209098164</v>
      </c>
      <c r="C88" s="7">
        <v>47.72</v>
      </c>
      <c r="D88" s="8">
        <f t="shared" si="6"/>
        <v>2.3999999999999751E-3</v>
      </c>
      <c r="E88" s="25">
        <v>1.8455706304868318</v>
      </c>
      <c r="F88" s="9">
        <f t="shared" si="7"/>
        <v>1.85</v>
      </c>
      <c r="G88" s="13">
        <f t="shared" si="5"/>
        <v>1.1880546416538496E-3</v>
      </c>
      <c r="H88" s="17">
        <f t="shared" si="8"/>
        <v>2.8513311399692095E-6</v>
      </c>
      <c r="J88" s="10"/>
    </row>
    <row r="89" spans="1:10">
      <c r="A89" s="6" t="s">
        <v>10</v>
      </c>
      <c r="B89" s="9">
        <v>52.559174590329761</v>
      </c>
      <c r="C89" s="7">
        <v>51.96</v>
      </c>
      <c r="D89" s="8">
        <f t="shared" si="6"/>
        <v>-1.1400000000000011E-2</v>
      </c>
      <c r="E89" s="25">
        <v>21.919886708476636</v>
      </c>
      <c r="F89" s="9">
        <f t="shared" si="7"/>
        <v>21.67</v>
      </c>
      <c r="G89" s="13">
        <f t="shared" si="5"/>
        <v>1.4110553515723604E-2</v>
      </c>
      <c r="H89" s="17">
        <f t="shared" si="8"/>
        <v>-1.6086031007924925E-4</v>
      </c>
      <c r="J89" s="10"/>
    </row>
    <row r="90" spans="1:10">
      <c r="A90" s="6" t="s">
        <v>16</v>
      </c>
      <c r="B90" s="9">
        <v>25.699693564862105</v>
      </c>
      <c r="C90" s="7">
        <v>25.16</v>
      </c>
      <c r="D90" s="8">
        <f t="shared" si="6"/>
        <v>-2.1000000000000043E-2</v>
      </c>
      <c r="E90" s="25">
        <v>0.67645556690500508</v>
      </c>
      <c r="F90" s="9">
        <f t="shared" si="7"/>
        <v>0.66225000000000001</v>
      </c>
      <c r="G90" s="13">
        <f t="shared" si="5"/>
        <v>4.3545674321989147E-4</v>
      </c>
      <c r="H90" s="17">
        <f t="shared" si="8"/>
        <v>-9.1445916076177388E-6</v>
      </c>
      <c r="J90" s="10"/>
    </row>
    <row r="91" spans="1:10">
      <c r="A91" s="6" t="s">
        <v>37</v>
      </c>
      <c r="B91" s="9">
        <v>36.999086943289029</v>
      </c>
      <c r="C91" s="7">
        <v>36.47</v>
      </c>
      <c r="D91" s="8">
        <f t="shared" si="6"/>
        <v>-1.4299999999999926E-2</v>
      </c>
      <c r="E91" s="25">
        <v>21.010449426803287</v>
      </c>
      <c r="F91" s="9">
        <f t="shared" si="7"/>
        <v>20.71</v>
      </c>
      <c r="G91" s="13">
        <f t="shared" si="5"/>
        <v>1.3525118764033785E-2</v>
      </c>
      <c r="H91" s="17">
        <f t="shared" si="8"/>
        <v>-1.9340919832568212E-4</v>
      </c>
      <c r="J91" s="10"/>
    </row>
    <row r="92" spans="1:10">
      <c r="A92" s="6" t="s">
        <v>25</v>
      </c>
      <c r="B92" s="9">
        <v>76.201395812562325</v>
      </c>
      <c r="C92" s="7">
        <v>76.430000000000007</v>
      </c>
      <c r="D92" s="8">
        <f t="shared" si="6"/>
        <v>2.9999999999999354E-3</v>
      </c>
      <c r="E92" s="25">
        <v>101.11665004985046</v>
      </c>
      <c r="F92" s="9">
        <f t="shared" si="7"/>
        <v>101.42</v>
      </c>
      <c r="G92" s="13">
        <f t="shared" si="5"/>
        <v>6.5092120266632067E-2</v>
      </c>
      <c r="H92" s="17">
        <f t="shared" si="8"/>
        <v>1.95276360799892E-4</v>
      </c>
      <c r="J92" s="10"/>
    </row>
    <row r="93" spans="1:10">
      <c r="A93" s="6" t="s">
        <v>97</v>
      </c>
      <c r="B93" s="9">
        <v>150.00500851447461</v>
      </c>
      <c r="C93" s="7">
        <v>149.75</v>
      </c>
      <c r="D93" s="8">
        <f t="shared" si="6"/>
        <v>-1.7000000000000251E-3</v>
      </c>
      <c r="E93" s="25">
        <v>2.3039166583191424</v>
      </c>
      <c r="F93" s="9">
        <f t="shared" si="7"/>
        <v>2.2999999999999998</v>
      </c>
      <c r="G93" s="13">
        <f t="shared" si="5"/>
        <v>1.4831070860602392E-3</v>
      </c>
      <c r="H93" s="17">
        <f t="shared" si="8"/>
        <v>-2.5212820463024439E-6</v>
      </c>
      <c r="J93" s="10"/>
    </row>
    <row r="94" spans="1:10">
      <c r="A94" s="6" t="s">
        <v>13</v>
      </c>
      <c r="B94" s="9">
        <v>66.00120385232745</v>
      </c>
      <c r="C94" s="7">
        <v>65.790000000000006</v>
      </c>
      <c r="D94" s="8">
        <f t="shared" si="6"/>
        <v>-3.1999999999999351E-3</v>
      </c>
      <c r="E94" s="25">
        <v>38.513242375601926</v>
      </c>
      <c r="F94" s="9">
        <f t="shared" si="7"/>
        <v>38.39</v>
      </c>
      <c r="G94" s="13">
        <f t="shared" si="5"/>
        <v>2.4792243446897479E-2</v>
      </c>
      <c r="H94" s="17">
        <f t="shared" si="8"/>
        <v>-7.9335179030070322E-5</v>
      </c>
      <c r="J94" s="10"/>
    </row>
    <row r="95" spans="1:10">
      <c r="A95" s="6" t="s">
        <v>74</v>
      </c>
      <c r="B95" s="9">
        <v>24.799206742687161</v>
      </c>
      <c r="C95" s="7">
        <v>25.01</v>
      </c>
      <c r="D95" s="8">
        <f t="shared" si="6"/>
        <v>8.4999999999999711E-3</v>
      </c>
      <c r="E95" s="25">
        <v>4.7595438770451164</v>
      </c>
      <c r="F95" s="9">
        <f t="shared" si="7"/>
        <v>4.8</v>
      </c>
      <c r="G95" s="13">
        <f t="shared" si="5"/>
        <v>3.0638752599715015E-3</v>
      </c>
      <c r="H95" s="17">
        <f t="shared" si="8"/>
        <v>2.6042939709757676E-5</v>
      </c>
      <c r="J95" s="10"/>
    </row>
    <row r="96" spans="1:10">
      <c r="A96" s="6" t="s">
        <v>88</v>
      </c>
      <c r="B96" s="9">
        <v>65.946977304679649</v>
      </c>
      <c r="C96" s="7">
        <v>65.67</v>
      </c>
      <c r="D96" s="8">
        <f t="shared" si="6"/>
        <v>-4.1999999999998905E-3</v>
      </c>
      <c r="E96" s="25">
        <v>3.3038762803775859</v>
      </c>
      <c r="F96" s="9">
        <f t="shared" si="7"/>
        <v>3.2900000000000005</v>
      </c>
      <c r="G96" s="13">
        <f t="shared" si="5"/>
        <v>2.1268140517154014E-3</v>
      </c>
      <c r="H96" s="17">
        <f t="shared" si="8"/>
        <v>-8.9326190172044522E-6</v>
      </c>
      <c r="J96" s="10"/>
    </row>
    <row r="97" spans="1:10">
      <c r="A97" s="6" t="s">
        <v>53</v>
      </c>
      <c r="B97" s="9">
        <v>29.504890591912879</v>
      </c>
      <c r="C97" s="7">
        <v>29.26</v>
      </c>
      <c r="D97" s="8">
        <f t="shared" si="6"/>
        <v>-8.3000000000000261E-3</v>
      </c>
      <c r="E97" s="25">
        <v>9.9626903297368159</v>
      </c>
      <c r="F97" s="9">
        <f t="shared" si="7"/>
        <v>9.8800000000000008</v>
      </c>
      <c r="G97" s="13">
        <f t="shared" si="5"/>
        <v>6.4133121182588073E-3</v>
      </c>
      <c r="H97" s="17">
        <f t="shared" si="8"/>
        <v>-5.3230490581548268E-5</v>
      </c>
      <c r="J97" s="10"/>
    </row>
    <row r="98" spans="1:10">
      <c r="A98" s="6" t="s">
        <v>33</v>
      </c>
      <c r="B98" s="9">
        <v>39.499598070739552</v>
      </c>
      <c r="C98" s="7">
        <v>39.31</v>
      </c>
      <c r="D98" s="8">
        <f t="shared" si="6"/>
        <v>-4.7999999999999909E-3</v>
      </c>
      <c r="E98" s="25">
        <v>31.802652733118972</v>
      </c>
      <c r="F98" s="9">
        <f t="shared" si="7"/>
        <v>31.65</v>
      </c>
      <c r="G98" s="13">
        <f t="shared" si="5"/>
        <v>2.0472415724626512E-2</v>
      </c>
      <c r="H98" s="17">
        <f t="shared" si="8"/>
        <v>-9.8267595478207067E-5</v>
      </c>
      <c r="J98" s="10"/>
    </row>
    <row r="99" spans="1:10">
      <c r="A99" s="6" t="s">
        <v>3</v>
      </c>
      <c r="B99" s="9">
        <v>79.873835986782808</v>
      </c>
      <c r="C99" s="7">
        <v>79.77</v>
      </c>
      <c r="D99" s="8">
        <f t="shared" si="6"/>
        <v>-1.2999999999999297E-3</v>
      </c>
      <c r="E99" s="25">
        <v>12.546310203264243</v>
      </c>
      <c r="F99" s="9">
        <f t="shared" si="7"/>
        <v>12.53</v>
      </c>
      <c r="G99" s="13">
        <f t="shared" si="5"/>
        <v>8.0764733824818472E-3</v>
      </c>
      <c r="H99" s="17">
        <f t="shared" si="8"/>
        <v>-1.0499415397225834E-5</v>
      </c>
      <c r="J99" s="10"/>
    </row>
    <row r="100" spans="1:10">
      <c r="A100" s="6" t="s">
        <v>119</v>
      </c>
      <c r="B100" s="9">
        <v>2.0999416682869922</v>
      </c>
      <c r="C100" s="7">
        <v>2.16</v>
      </c>
      <c r="D100" s="8">
        <f t="shared" si="6"/>
        <v>2.8599999999999959E-2</v>
      </c>
      <c r="E100" s="25">
        <v>0.47266187050359715</v>
      </c>
      <c r="F100" s="9">
        <f t="shared" si="7"/>
        <v>0.48618</v>
      </c>
      <c r="G100" s="13">
        <f t="shared" si="5"/>
        <v>3.0426802415926075E-4</v>
      </c>
      <c r="H100" s="17">
        <f t="shared" si="8"/>
        <v>8.702065490954845E-6</v>
      </c>
      <c r="J100" s="10"/>
    </row>
    <row r="101" spans="1:10">
      <c r="A101" s="6" t="s">
        <v>118</v>
      </c>
      <c r="B101" s="9">
        <v>0.58502726822012885</v>
      </c>
      <c r="C101" s="7">
        <v>0.59</v>
      </c>
      <c r="D101" s="8">
        <f t="shared" si="6"/>
        <v>8.5000000000000422E-3</v>
      </c>
      <c r="E101" s="25">
        <v>0.67964303420922156</v>
      </c>
      <c r="F101" s="9">
        <f t="shared" si="7"/>
        <v>0.68541999999999992</v>
      </c>
      <c r="G101" s="13">
        <f t="shared" ref="G101:G124" si="9">E101/SUM(Capi_DP)</f>
        <v>4.3750862097701387E-4</v>
      </c>
      <c r="H101" s="17">
        <f t="shared" si="8"/>
        <v>3.7188232783046365E-6</v>
      </c>
      <c r="J101" s="10"/>
    </row>
    <row r="102" spans="1:10">
      <c r="A102" s="6" t="s">
        <v>55</v>
      </c>
      <c r="B102" s="9">
        <v>111.7052881758764</v>
      </c>
      <c r="C102" s="7">
        <v>112.8</v>
      </c>
      <c r="D102" s="8">
        <f t="shared" si="6"/>
        <v>9.8000000000000344E-3</v>
      </c>
      <c r="E102" s="25">
        <v>9.4573182808476925</v>
      </c>
      <c r="F102" s="9">
        <f t="shared" si="7"/>
        <v>9.5500000000000007</v>
      </c>
      <c r="G102" s="13">
        <f t="shared" si="9"/>
        <v>6.0879874742019932E-3</v>
      </c>
      <c r="H102" s="17">
        <f t="shared" si="8"/>
        <v>5.9662277247179742E-5</v>
      </c>
      <c r="J102" s="10"/>
    </row>
    <row r="103" spans="1:10">
      <c r="A103" s="6" t="s">
        <v>112</v>
      </c>
      <c r="B103" s="9">
        <v>62.5</v>
      </c>
      <c r="C103" s="7">
        <v>64.55</v>
      </c>
      <c r="D103" s="8">
        <f t="shared" si="6"/>
        <v>3.2799999999999954E-2</v>
      </c>
      <c r="E103" s="25">
        <v>1.2199845081332301</v>
      </c>
      <c r="F103" s="9">
        <f t="shared" si="7"/>
        <v>1.26</v>
      </c>
      <c r="G103" s="13">
        <f t="shared" si="9"/>
        <v>7.853442364604286E-4</v>
      </c>
      <c r="H103" s="17">
        <f t="shared" si="8"/>
        <v>2.5759290955902023E-5</v>
      </c>
      <c r="J103" s="10"/>
    </row>
    <row r="104" spans="1:10">
      <c r="A104" s="6" t="s">
        <v>23</v>
      </c>
      <c r="B104" s="9">
        <v>5.9741819273491448</v>
      </c>
      <c r="C104" s="7">
        <v>5.97</v>
      </c>
      <c r="D104" s="8">
        <f t="shared" si="6"/>
        <v>-7.0000000000010364E-4</v>
      </c>
      <c r="E104" s="25">
        <v>5.4438106674672273</v>
      </c>
      <c r="F104" s="9">
        <f t="shared" si="7"/>
        <v>5.4399999999999995</v>
      </c>
      <c r="G104" s="13">
        <f t="shared" si="9"/>
        <v>3.5043603452137441E-3</v>
      </c>
      <c r="H104" s="17">
        <f t="shared" si="8"/>
        <v>-2.453052241649984E-6</v>
      </c>
      <c r="J104" s="10"/>
    </row>
    <row r="105" spans="1:10">
      <c r="A105" s="6" t="s">
        <v>64</v>
      </c>
      <c r="B105" s="9">
        <v>13.85530227948464</v>
      </c>
      <c r="C105" s="7">
        <v>13.98</v>
      </c>
      <c r="D105" s="8">
        <f t="shared" si="6"/>
        <v>8.9999999999999126E-3</v>
      </c>
      <c r="E105" s="25">
        <v>7.4826560951437076</v>
      </c>
      <c r="F105" s="9">
        <f t="shared" si="7"/>
        <v>7.55</v>
      </c>
      <c r="G105" s="13">
        <f t="shared" si="9"/>
        <v>4.8168323438209266E-3</v>
      </c>
      <c r="H105" s="17">
        <f t="shared" si="8"/>
        <v>4.3351491094387919E-5</v>
      </c>
      <c r="J105" s="10"/>
    </row>
    <row r="106" spans="1:10">
      <c r="A106" s="6" t="s">
        <v>110</v>
      </c>
      <c r="B106" s="9">
        <v>21.130417415618133</v>
      </c>
      <c r="C106" s="7">
        <v>21.16</v>
      </c>
      <c r="D106" s="8">
        <f t="shared" si="6"/>
        <v>1.4000000000000713E-3</v>
      </c>
      <c r="E106" s="25">
        <v>1.348112642300779</v>
      </c>
      <c r="F106" s="9">
        <f t="shared" si="7"/>
        <v>1.35</v>
      </c>
      <c r="G106" s="13">
        <f t="shared" si="9"/>
        <v>8.6782453930532685E-4</v>
      </c>
      <c r="H106" s="17">
        <f t="shared" si="8"/>
        <v>1.2149543550275194E-6</v>
      </c>
      <c r="J106" s="10"/>
    </row>
    <row r="107" spans="1:10">
      <c r="A107" s="6" t="s">
        <v>104</v>
      </c>
      <c r="B107" s="9">
        <v>4.7637834105927608</v>
      </c>
      <c r="C107" s="7">
        <v>4.83</v>
      </c>
      <c r="D107" s="8">
        <f t="shared" si="6"/>
        <v>1.3899999999999982E-2</v>
      </c>
      <c r="E107" s="25">
        <v>1.5977907091429135</v>
      </c>
      <c r="F107" s="9">
        <f t="shared" si="7"/>
        <v>1.62</v>
      </c>
      <c r="G107" s="13">
        <f t="shared" si="9"/>
        <v>1.0285505398879822E-3</v>
      </c>
      <c r="H107" s="17">
        <f t="shared" si="8"/>
        <v>1.4296852504442934E-5</v>
      </c>
      <c r="J107" s="10"/>
    </row>
    <row r="108" spans="1:10">
      <c r="A108" s="6" t="s">
        <v>66</v>
      </c>
      <c r="B108" s="9">
        <v>57.399794450154168</v>
      </c>
      <c r="C108" s="7">
        <v>55.85</v>
      </c>
      <c r="D108" s="8">
        <f t="shared" si="6"/>
        <v>-2.7000000000000073E-2</v>
      </c>
      <c r="E108" s="25">
        <v>6.5364850976361772</v>
      </c>
      <c r="F108" s="9">
        <f t="shared" si="7"/>
        <v>6.36</v>
      </c>
      <c r="G108" s="13">
        <f t="shared" si="9"/>
        <v>4.2077508885690331E-3</v>
      </c>
      <c r="H108" s="17">
        <f t="shared" si="8"/>
        <v>-1.136092739913642E-4</v>
      </c>
      <c r="J108" s="10"/>
    </row>
    <row r="109" spans="1:10">
      <c r="A109" s="6" t="s">
        <v>89</v>
      </c>
      <c r="B109" s="9">
        <v>56.180914714531994</v>
      </c>
      <c r="C109" s="7">
        <v>55.4</v>
      </c>
      <c r="D109" s="8">
        <f t="shared" si="6"/>
        <v>-1.3900000000000013E-2</v>
      </c>
      <c r="E109" s="25">
        <v>3.2146841091167224</v>
      </c>
      <c r="F109" s="9">
        <f t="shared" si="7"/>
        <v>3.17</v>
      </c>
      <c r="G109" s="13">
        <f t="shared" si="9"/>
        <v>2.0693981114553953E-3</v>
      </c>
      <c r="H109" s="17">
        <f t="shared" si="8"/>
        <v>-2.8764633749230023E-5</v>
      </c>
      <c r="J109" s="10"/>
    </row>
    <row r="110" spans="1:10">
      <c r="A110" s="6" t="s">
        <v>95</v>
      </c>
      <c r="B110" s="9">
        <v>12.7896479085164</v>
      </c>
      <c r="C110" s="7">
        <v>12.75</v>
      </c>
      <c r="D110" s="8">
        <f t="shared" si="6"/>
        <v>-3.0999999999999591E-3</v>
      </c>
      <c r="E110" s="25">
        <v>2.6983649312869895</v>
      </c>
      <c r="F110" s="9">
        <f t="shared" si="7"/>
        <v>2.69</v>
      </c>
      <c r="G110" s="13">
        <f t="shared" si="9"/>
        <v>1.7370264397011126E-3</v>
      </c>
      <c r="H110" s="17">
        <f t="shared" si="8"/>
        <v>-5.384781963073378E-6</v>
      </c>
      <c r="J110" s="10"/>
    </row>
    <row r="111" spans="1:10">
      <c r="A111" s="6" t="s">
        <v>57</v>
      </c>
      <c r="B111" s="9">
        <v>43.099830118916763</v>
      </c>
      <c r="C111" s="7">
        <v>43.13</v>
      </c>
      <c r="D111" s="8">
        <f t="shared" si="6"/>
        <v>6.9999999999993993E-4</v>
      </c>
      <c r="E111" s="25">
        <v>8.9137603677425812</v>
      </c>
      <c r="F111" s="9">
        <f t="shared" si="7"/>
        <v>8.92</v>
      </c>
      <c r="G111" s="13">
        <f t="shared" si="9"/>
        <v>5.7380813308094414E-3</v>
      </c>
      <c r="H111" s="17">
        <f t="shared" si="8"/>
        <v>4.0166569315662641E-6</v>
      </c>
      <c r="J111" s="10"/>
    </row>
    <row r="112" spans="1:10">
      <c r="A112" s="6" t="s">
        <v>8</v>
      </c>
      <c r="B112" s="9">
        <v>47.692154321603027</v>
      </c>
      <c r="C112" s="18">
        <v>47.84</v>
      </c>
      <c r="D112" s="8">
        <f t="shared" si="6"/>
        <v>3.1000000000001421E-3</v>
      </c>
      <c r="E112" s="25">
        <v>113.41840295085234</v>
      </c>
      <c r="F112" s="9">
        <f t="shared" si="7"/>
        <v>113.77</v>
      </c>
      <c r="G112" s="13">
        <f t="shared" si="9"/>
        <v>7.3011164053462779E-2</v>
      </c>
      <c r="H112" s="17">
        <f t="shared" si="8"/>
        <v>2.2633460856574499E-4</v>
      </c>
      <c r="J112" s="10"/>
    </row>
    <row r="113" spans="1:10">
      <c r="A113" s="6" t="s">
        <v>108</v>
      </c>
      <c r="B113" s="9">
        <v>14.19987983176447</v>
      </c>
      <c r="C113" s="7">
        <v>14.18</v>
      </c>
      <c r="D113" s="8">
        <f t="shared" si="6"/>
        <v>-1.3999999999999937E-3</v>
      </c>
      <c r="E113" s="25">
        <v>1.5321450030042059</v>
      </c>
      <c r="F113" s="9">
        <f t="shared" si="7"/>
        <v>1.53</v>
      </c>
      <c r="G113" s="13">
        <f t="shared" si="9"/>
        <v>9.8629223527779046E-4</v>
      </c>
      <c r="H113" s="17">
        <f t="shared" si="8"/>
        <v>-1.3808091293889005E-6</v>
      </c>
      <c r="J113" s="10"/>
    </row>
    <row r="114" spans="1:10">
      <c r="A114" s="6" t="s">
        <v>39</v>
      </c>
      <c r="B114" s="9">
        <v>207.34156874560608</v>
      </c>
      <c r="C114" s="7">
        <v>206.45</v>
      </c>
      <c r="D114" s="8">
        <f t="shared" si="6"/>
        <v>-4.2999999999999402E-3</v>
      </c>
      <c r="E114" s="25">
        <v>20.327407853771213</v>
      </c>
      <c r="F114" s="9">
        <f t="shared" si="7"/>
        <v>20.239999999999998</v>
      </c>
      <c r="G114" s="13">
        <f t="shared" si="9"/>
        <v>1.308542239160655E-2</v>
      </c>
      <c r="H114" s="17">
        <f t="shared" si="8"/>
        <v>-5.6267316283907385E-5</v>
      </c>
      <c r="J114" s="10"/>
    </row>
    <row r="115" spans="1:10">
      <c r="A115" s="6" t="s">
        <v>63</v>
      </c>
      <c r="B115" s="9">
        <v>97.995812144780146</v>
      </c>
      <c r="C115" s="7">
        <v>98.28</v>
      </c>
      <c r="D115" s="8">
        <f t="shared" si="6"/>
        <v>2.8999999999999256E-3</v>
      </c>
      <c r="E115" s="25">
        <v>7.7874164921726994</v>
      </c>
      <c r="F115" s="9">
        <f t="shared" si="7"/>
        <v>7.81</v>
      </c>
      <c r="G115" s="13">
        <f t="shared" si="9"/>
        <v>5.0130166557630033E-3</v>
      </c>
      <c r="H115" s="17">
        <f t="shared" si="8"/>
        <v>1.4537748301712337E-5</v>
      </c>
      <c r="J115" s="10"/>
    </row>
    <row r="116" spans="1:10">
      <c r="A116" s="6" t="s">
        <v>80</v>
      </c>
      <c r="B116" s="9">
        <v>30.161506017899395</v>
      </c>
      <c r="C116" s="7">
        <v>29.32</v>
      </c>
      <c r="D116" s="8">
        <f t="shared" si="6"/>
        <v>-2.7900000000000053E-2</v>
      </c>
      <c r="E116" s="25">
        <v>3.878201831087337</v>
      </c>
      <c r="F116" s="9">
        <f t="shared" si="7"/>
        <v>3.77</v>
      </c>
      <c r="G116" s="13">
        <f t="shared" si="9"/>
        <v>2.4965263374820724E-3</v>
      </c>
      <c r="H116" s="17">
        <f t="shared" si="8"/>
        <v>-6.9653084815749956E-5</v>
      </c>
      <c r="J116" s="10"/>
    </row>
    <row r="117" spans="1:10">
      <c r="A117" s="6" t="s">
        <v>61</v>
      </c>
      <c r="B117" s="9">
        <v>14.355449292687787</v>
      </c>
      <c r="C117" s="7">
        <v>14.41</v>
      </c>
      <c r="D117" s="8">
        <f t="shared" si="6"/>
        <v>3.799999999999967E-3</v>
      </c>
      <c r="E117" s="25">
        <v>8.0693365212193662</v>
      </c>
      <c r="F117" s="9">
        <f t="shared" si="7"/>
        <v>8.1</v>
      </c>
      <c r="G117" s="13">
        <f t="shared" si="9"/>
        <v>5.1944978700559129E-3</v>
      </c>
      <c r="H117" s="17">
        <f t="shared" si="8"/>
        <v>1.9739091906212297E-5</v>
      </c>
      <c r="J117" s="10"/>
    </row>
    <row r="118" spans="1:10">
      <c r="A118" s="6" t="s">
        <v>1</v>
      </c>
      <c r="B118" s="9">
        <v>59.100449775112452</v>
      </c>
      <c r="C118" s="7">
        <v>59.13</v>
      </c>
      <c r="D118" s="8">
        <f t="shared" si="6"/>
        <v>4.9999999999990764E-4</v>
      </c>
      <c r="E118" s="25">
        <v>2.6486756621689156</v>
      </c>
      <c r="F118" s="9">
        <f t="shared" si="7"/>
        <v>2.65</v>
      </c>
      <c r="G118" s="13">
        <f t="shared" si="9"/>
        <v>1.7050398194976132E-3</v>
      </c>
      <c r="H118" s="17">
        <f t="shared" si="8"/>
        <v>8.5251990974864912E-7</v>
      </c>
      <c r="J118" s="10"/>
    </row>
    <row r="119" spans="1:10">
      <c r="A119" s="6" t="s">
        <v>105</v>
      </c>
      <c r="B119" s="9">
        <v>84.500251130085388</v>
      </c>
      <c r="C119" s="7">
        <v>84.12</v>
      </c>
      <c r="D119" s="8">
        <f t="shared" si="6"/>
        <v>-4.4999999999999936E-3</v>
      </c>
      <c r="E119" s="25">
        <v>1.5971873430436967</v>
      </c>
      <c r="F119" s="9">
        <f t="shared" si="7"/>
        <v>1.59</v>
      </c>
      <c r="G119" s="13">
        <f t="shared" si="9"/>
        <v>1.0281621332440154E-3</v>
      </c>
      <c r="H119" s="17">
        <f t="shared" si="8"/>
        <v>-4.6267295995980624E-6</v>
      </c>
      <c r="J119" s="10"/>
    </row>
    <row r="120" spans="1:10">
      <c r="A120" s="6" t="s">
        <v>35</v>
      </c>
      <c r="B120" s="9">
        <v>43.696634856855852</v>
      </c>
      <c r="C120" s="7">
        <v>43.5</v>
      </c>
      <c r="D120" s="8">
        <f t="shared" si="6"/>
        <v>-4.5000000000000057E-3</v>
      </c>
      <c r="E120" s="25">
        <v>25.786037167252637</v>
      </c>
      <c r="F120" s="9">
        <f t="shared" si="7"/>
        <v>25.669999999999998</v>
      </c>
      <c r="G120" s="13">
        <f t="shared" si="9"/>
        <v>1.6599321987656523E-2</v>
      </c>
      <c r="H120" s="17">
        <f t="shared" si="8"/>
        <v>-7.4696948944454446E-5</v>
      </c>
      <c r="J120" s="10"/>
    </row>
    <row r="121" spans="1:10">
      <c r="A121" s="6" t="s">
        <v>107</v>
      </c>
      <c r="B121" s="9">
        <v>180.00197804371476</v>
      </c>
      <c r="C121" s="7">
        <v>182</v>
      </c>
      <c r="D121" s="8">
        <f t="shared" si="6"/>
        <v>1.1100000000000049E-2</v>
      </c>
      <c r="E121" s="25">
        <v>1.5230936603698941</v>
      </c>
      <c r="F121" s="9">
        <f t="shared" si="7"/>
        <v>1.54</v>
      </c>
      <c r="G121" s="13">
        <f t="shared" si="9"/>
        <v>9.8046558770751723E-4</v>
      </c>
      <c r="H121" s="17">
        <f t="shared" si="8"/>
        <v>1.0883168023553489E-5</v>
      </c>
      <c r="J121" s="10"/>
    </row>
    <row r="122" spans="1:10">
      <c r="A122" s="6" t="s">
        <v>5</v>
      </c>
      <c r="B122" s="9">
        <v>20.115745360207544</v>
      </c>
      <c r="C122" s="7">
        <v>20.16</v>
      </c>
      <c r="D122" s="8">
        <f t="shared" si="6"/>
        <v>2.1999999999999663E-3</v>
      </c>
      <c r="E122" s="25">
        <v>27.120335262422671</v>
      </c>
      <c r="F122" s="9">
        <f t="shared" si="7"/>
        <v>27.18</v>
      </c>
      <c r="G122" s="13">
        <f t="shared" si="9"/>
        <v>1.7458253647670258E-2</v>
      </c>
      <c r="H122" s="17">
        <f t="shared" si="8"/>
        <v>3.8408158024873977E-5</v>
      </c>
      <c r="J122" s="10"/>
    </row>
    <row r="123" spans="1:10">
      <c r="A123" s="6" t="s">
        <v>78</v>
      </c>
      <c r="B123" s="9">
        <v>92.932479053721053</v>
      </c>
      <c r="C123" s="7">
        <v>94.28</v>
      </c>
      <c r="D123" s="8">
        <f t="shared" si="6"/>
        <v>1.4499999999999921E-2</v>
      </c>
      <c r="E123" s="25">
        <v>4.4455396747166089</v>
      </c>
      <c r="F123" s="9">
        <f t="shared" si="7"/>
        <v>4.51</v>
      </c>
      <c r="G123" s="13">
        <f t="shared" si="9"/>
        <v>2.8617404058983243E-3</v>
      </c>
      <c r="H123" s="17">
        <f t="shared" si="8"/>
        <v>4.1495235885525476E-5</v>
      </c>
      <c r="J123" s="10"/>
    </row>
    <row r="124" spans="1:10">
      <c r="A124" s="6" t="s">
        <v>17</v>
      </c>
      <c r="B124" s="9">
        <v>25.405828280852731</v>
      </c>
      <c r="C124" s="7">
        <v>25.98</v>
      </c>
      <c r="D124" s="8">
        <f t="shared" si="6"/>
        <v>2.2599999999999912E-2</v>
      </c>
      <c r="E124" s="25">
        <v>7.324467044787796</v>
      </c>
      <c r="F124" s="9">
        <f t="shared" si="7"/>
        <v>7.49</v>
      </c>
      <c r="G124" s="13">
        <f t="shared" si="9"/>
        <v>4.7150008384698799E-3</v>
      </c>
      <c r="H124" s="17">
        <f t="shared" si="8"/>
        <v>1.0655901894941886E-4</v>
      </c>
      <c r="J124" s="10"/>
    </row>
  </sheetData>
  <sheetProtection password="FBD5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 enableFormatConditionsCalculation="0"/>
  <dimension ref="A1:E62"/>
  <sheetViews>
    <sheetView tabSelected="1" workbookViewId="0">
      <selection activeCell="G14" sqref="G14"/>
    </sheetView>
  </sheetViews>
  <sheetFormatPr baseColWidth="10" defaultRowHeight="14" x14ac:dyDescent="0"/>
  <cols>
    <col min="1" max="1" width="28.83203125" customWidth="1"/>
    <col min="2" max="2" width="17.83203125" style="3" customWidth="1"/>
    <col min="4" max="4" width="37.33203125" customWidth="1"/>
    <col min="5" max="5" width="14.83203125" customWidth="1"/>
  </cols>
  <sheetData>
    <row r="1" spans="1:5">
      <c r="A1" s="14" t="s">
        <v>130</v>
      </c>
      <c r="B1" s="15"/>
      <c r="D1" s="14" t="s">
        <v>131</v>
      </c>
      <c r="E1" s="6"/>
    </row>
    <row r="2" spans="1:5">
      <c r="A2" s="6" t="s">
        <v>121</v>
      </c>
      <c r="B2" s="15" t="s">
        <v>24</v>
      </c>
      <c r="D2" s="6" t="s">
        <v>121</v>
      </c>
      <c r="E2" s="6" t="s">
        <v>24</v>
      </c>
    </row>
    <row r="3" spans="1:5">
      <c r="A3" s="6" t="s">
        <v>8</v>
      </c>
      <c r="B3" s="15">
        <v>113.41840295085234</v>
      </c>
      <c r="D3" s="6" t="s">
        <v>1</v>
      </c>
      <c r="E3" s="9">
        <v>2.6486756621689156</v>
      </c>
    </row>
    <row r="4" spans="1:5">
      <c r="B4"/>
    </row>
    <row r="5" spans="1:5">
      <c r="B5"/>
    </row>
    <row r="6" spans="1:5">
      <c r="B6"/>
    </row>
    <row r="7" spans="1:5">
      <c r="B7"/>
    </row>
    <row r="8" spans="1:5">
      <c r="B8"/>
    </row>
    <row r="9" spans="1:5">
      <c r="B9"/>
    </row>
    <row r="10" spans="1:5">
      <c r="B10"/>
    </row>
    <row r="11" spans="1:5">
      <c r="B11"/>
    </row>
    <row r="12" spans="1:5">
      <c r="B12"/>
    </row>
    <row r="13" spans="1:5">
      <c r="B13"/>
    </row>
    <row r="14" spans="1:5">
      <c r="B14"/>
    </row>
    <row r="15" spans="1:5">
      <c r="B15"/>
    </row>
    <row r="16" spans="1:5">
      <c r="B16"/>
    </row>
    <row r="17" spans="2:2">
      <c r="B17"/>
    </row>
    <row r="18" spans="2:2">
      <c r="B18"/>
    </row>
    <row r="19" spans="2:2">
      <c r="B19"/>
    </row>
    <row r="20" spans="2:2">
      <c r="B20"/>
    </row>
    <row r="21" spans="2:2">
      <c r="B21"/>
    </row>
    <row r="22" spans="2:2">
      <c r="B22"/>
    </row>
    <row r="23" spans="2:2">
      <c r="B23"/>
    </row>
    <row r="24" spans="2:2">
      <c r="B24"/>
    </row>
    <row r="25" spans="2:2">
      <c r="B25"/>
    </row>
    <row r="26" spans="2:2">
      <c r="B26"/>
    </row>
    <row r="27" spans="2:2">
      <c r="B27"/>
    </row>
    <row r="28" spans="2:2">
      <c r="B28"/>
    </row>
    <row r="29" spans="2:2">
      <c r="B29"/>
    </row>
    <row r="30" spans="2:2">
      <c r="B30"/>
    </row>
    <row r="31" spans="2:2">
      <c r="B31"/>
    </row>
    <row r="32" spans="2:2">
      <c r="B32"/>
    </row>
    <row r="33" spans="2:2">
      <c r="B33"/>
    </row>
    <row r="34" spans="2:2">
      <c r="B34"/>
    </row>
    <row r="35" spans="2:2">
      <c r="B35"/>
    </row>
    <row r="36" spans="2:2">
      <c r="B36"/>
    </row>
    <row r="37" spans="2:2">
      <c r="B37"/>
    </row>
    <row r="38" spans="2:2">
      <c r="B38"/>
    </row>
    <row r="39" spans="2:2">
      <c r="B39"/>
    </row>
    <row r="40" spans="2:2">
      <c r="B40"/>
    </row>
    <row r="41" spans="2:2">
      <c r="B41"/>
    </row>
    <row r="42" spans="2:2">
      <c r="B42"/>
    </row>
    <row r="43" spans="2:2">
      <c r="B43"/>
    </row>
    <row r="44" spans="2:2">
      <c r="B44"/>
    </row>
    <row r="45" spans="2:2">
      <c r="B45"/>
    </row>
    <row r="46" spans="2:2">
      <c r="B46"/>
    </row>
    <row r="47" spans="2:2">
      <c r="B47"/>
    </row>
    <row r="48" spans="2:2">
      <c r="B48"/>
    </row>
    <row r="49" spans="2:2">
      <c r="B49"/>
    </row>
    <row r="50" spans="2:2">
      <c r="B50"/>
    </row>
    <row r="51" spans="2:2">
      <c r="B51"/>
    </row>
    <row r="52" spans="2:2">
      <c r="B52"/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  <row r="59" spans="2:2">
      <c r="B59"/>
    </row>
    <row r="60" spans="2:2">
      <c r="B60"/>
    </row>
    <row r="61" spans="2:2">
      <c r="B61"/>
    </row>
    <row r="62" spans="2:2">
      <c r="B6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wsData">
                <anchor moveWithCells="1" sizeWithCells="1">
                  <from>
                    <xdr:col>5</xdr:col>
                    <xdr:colOff>749300</xdr:colOff>
                    <xdr:row>0</xdr:row>
                    <xdr:rowOff>177800</xdr:rowOff>
                  </from>
                  <to>
                    <xdr:col>7</xdr:col>
                    <xdr:colOff>698500</xdr:colOff>
                    <xdr:row>2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wsRendements">
                <anchor moveWithCells="1" sizeWithCells="1">
                  <from>
                    <xdr:col>6</xdr:col>
                    <xdr:colOff>0</xdr:colOff>
                    <xdr:row>2</xdr:row>
                    <xdr:rowOff>127000</xdr:rowOff>
                  </from>
                  <to>
                    <xdr:col>7</xdr:col>
                    <xdr:colOff>711200</xdr:colOff>
                    <xdr:row>4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ProcTriSbf">
                <anchor moveWithCells="1" sizeWithCells="1">
                  <from>
                    <xdr:col>6</xdr:col>
                    <xdr:colOff>0</xdr:colOff>
                    <xdr:row>5</xdr:row>
                    <xdr:rowOff>25400</xdr:rowOff>
                  </from>
                  <to>
                    <xdr:col>7</xdr:col>
                    <xdr:colOff>673100</xdr:colOff>
                    <xdr:row>7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ProcTriSbf_Ameliore">
                <anchor moveWithCells="1" sizeWithCells="1">
                  <from>
                    <xdr:col>6</xdr:col>
                    <xdr:colOff>0</xdr:colOff>
                    <xdr:row>7</xdr:row>
                    <xdr:rowOff>177800</xdr:rowOff>
                  </from>
                  <to>
                    <xdr:col>7</xdr:col>
                    <xdr:colOff>673100</xdr:colOff>
                    <xdr:row>10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 enableFormatConditionsCalculation="0"/>
  <dimension ref="A1:F8"/>
  <sheetViews>
    <sheetView workbookViewId="0">
      <selection activeCell="E8" sqref="E8"/>
    </sheetView>
  </sheetViews>
  <sheetFormatPr baseColWidth="10" defaultRowHeight="14" x14ac:dyDescent="0"/>
  <cols>
    <col min="1" max="1" width="21.83203125" customWidth="1"/>
    <col min="2" max="2" width="19" customWidth="1"/>
    <col min="3" max="3" width="23.5" customWidth="1"/>
    <col min="6" max="6" width="15.1640625" customWidth="1"/>
  </cols>
  <sheetData>
    <row r="1" spans="1:6">
      <c r="A1" s="1" t="s">
        <v>132</v>
      </c>
    </row>
    <row r="2" spans="1:6" ht="15" thickBot="1">
      <c r="A2" s="23"/>
      <c r="B2" s="24" t="s">
        <v>128</v>
      </c>
      <c r="C2" s="24" t="s">
        <v>125</v>
      </c>
    </row>
    <row r="3" spans="1:6">
      <c r="A3" s="6" t="s">
        <v>129</v>
      </c>
      <c r="B3" s="20">
        <f>SUM(Data!$H$5:$H$124)</f>
        <v>-1.3363586055615741E-3</v>
      </c>
      <c r="C3" s="15"/>
    </row>
    <row r="4" spans="1:6">
      <c r="A4" s="6" t="s">
        <v>136</v>
      </c>
      <c r="B4" s="20">
        <f>SUM(Data!$F$5:$F$34)/SUM(Data!$E$5:$E$34)-1</f>
        <v>-1.986240073003076E-3</v>
      </c>
      <c r="C4" s="20">
        <f>SUM(Data!$H$5:$H$34)</f>
        <v>-1.430496865865191E-3</v>
      </c>
    </row>
    <row r="5" spans="1:6" ht="15" thickBot="1">
      <c r="A5" s="21" t="s">
        <v>137</v>
      </c>
      <c r="B5" s="22">
        <f>SUM(Data!$F$95:$F$124)/SUM(Data!$E$95:$E$124)-1</f>
        <v>1.7417271296564785E-3</v>
      </c>
      <c r="C5" s="22">
        <f>SUM(Data!$H$95:$H$124)</f>
        <v>4.9183799249539395E-5</v>
      </c>
      <c r="F5" s="19"/>
    </row>
    <row r="8" spans="1:6">
      <c r="C8" s="16"/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wsListe">
                <anchor moveWithCells="1" sizeWithCells="1">
                  <from>
                    <xdr:col>4</xdr:col>
                    <xdr:colOff>749300</xdr:colOff>
                    <xdr:row>1</xdr:row>
                    <xdr:rowOff>12700</xdr:rowOff>
                  </from>
                  <to>
                    <xdr:col>6</xdr:col>
                    <xdr:colOff>457200</xdr:colOff>
                    <xdr:row>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sData">
                <anchor moveWithCells="1" sizeWithCells="1">
                  <from>
                    <xdr:col>7</xdr:col>
                    <xdr:colOff>0</xdr:colOff>
                    <xdr:row>1</xdr:row>
                    <xdr:rowOff>12700</xdr:rowOff>
                  </from>
                  <to>
                    <xdr:col>8</xdr:col>
                    <xdr:colOff>711200</xdr:colOff>
                    <xdr:row>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ocTriSbf">
                <anchor moveWithCells="1" sizeWithCells="1">
                  <from>
                    <xdr:col>5</xdr:col>
                    <xdr:colOff>25400</xdr:colOff>
                    <xdr:row>3</xdr:row>
                    <xdr:rowOff>25400</xdr:rowOff>
                  </from>
                  <to>
                    <xdr:col>6</xdr:col>
                    <xdr:colOff>444500</xdr:colOff>
                    <xdr:row>5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ocTriSbf_Ameliore">
                <anchor moveWithCells="1" sizeWithCells="1">
                  <from>
                    <xdr:col>5</xdr:col>
                    <xdr:colOff>25400</xdr:colOff>
                    <xdr:row>5</xdr:row>
                    <xdr:rowOff>177800</xdr:rowOff>
                  </from>
                  <to>
                    <xdr:col>6</xdr:col>
                    <xdr:colOff>444500</xdr:colOff>
                    <xdr:row>8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enableFormatConditionsCalculation="0">
    <tabColor theme="2" tint="-0.499984740745262"/>
  </sheetPr>
  <dimension ref="A1:F8"/>
  <sheetViews>
    <sheetView workbookViewId="0">
      <selection activeCell="B11" sqref="B11"/>
    </sheetView>
  </sheetViews>
  <sheetFormatPr baseColWidth="10" defaultRowHeight="14" x14ac:dyDescent="0"/>
  <cols>
    <col min="1" max="1" width="21.83203125" customWidth="1"/>
    <col min="2" max="2" width="19" customWidth="1"/>
    <col min="3" max="3" width="23.5" customWidth="1"/>
    <col min="6" max="6" width="15.1640625" customWidth="1"/>
  </cols>
  <sheetData>
    <row r="1" spans="1:6">
      <c r="A1" s="1" t="s">
        <v>132</v>
      </c>
    </row>
    <row r="2" spans="1:6" ht="15" thickBot="1">
      <c r="A2" s="23"/>
      <c r="B2" s="24" t="s">
        <v>128</v>
      </c>
      <c r="C2" s="24" t="s">
        <v>125</v>
      </c>
    </row>
    <row r="3" spans="1:6">
      <c r="A3" s="6" t="s">
        <v>129</v>
      </c>
      <c r="B3" s="20">
        <f>SUM(Data!$F$5:$F$124)/SUM(Data!$E$5:$E$124)-1</f>
        <v>-1.3363586055621379E-3</v>
      </c>
      <c r="C3" s="15"/>
    </row>
    <row r="4" spans="1:6">
      <c r="A4" s="6" t="s">
        <v>136</v>
      </c>
      <c r="B4" s="20">
        <v>-1.9862400730031064E-3</v>
      </c>
      <c r="C4" s="20">
        <v>-1.4312318280393867E-3</v>
      </c>
    </row>
    <row r="5" spans="1:6" ht="15" thickBot="1">
      <c r="A5" s="21" t="s">
        <v>137</v>
      </c>
      <c r="B5" s="22">
        <v>1.741727129656455E-3</v>
      </c>
      <c r="C5" s="22">
        <v>4.9209068953300354E-5</v>
      </c>
      <c r="F5" s="19"/>
    </row>
    <row r="8" spans="1:6">
      <c r="C8" s="16"/>
    </row>
  </sheetData>
  <sheetProtection password="FBD5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Data</vt:lpstr>
      <vt:lpstr>SAV Data</vt:lpstr>
      <vt:lpstr>Liste</vt:lpstr>
      <vt:lpstr>Rendements</vt:lpstr>
      <vt:lpstr>SAV RENDEMENTS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Peltrault</dc:creator>
  <cp:lastModifiedBy>A Masson</cp:lastModifiedBy>
  <dcterms:created xsi:type="dcterms:W3CDTF">2014-11-26T20:32:56Z</dcterms:created>
  <dcterms:modified xsi:type="dcterms:W3CDTF">2015-11-26T17:11:05Z</dcterms:modified>
</cp:coreProperties>
</file>